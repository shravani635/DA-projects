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DA projects\Excel Project\"/>
    </mc:Choice>
  </mc:AlternateContent>
  <xr:revisionPtr revIDLastSave="0" documentId="13_ncr:1_{54FDD361-1B7A-41C2-AE7D-350F3D7D1DD3}" xr6:coauthVersionLast="47" xr6:coauthVersionMax="47" xr10:uidLastSave="{00000000-0000-0000-0000-000000000000}"/>
  <bookViews>
    <workbookView xWindow="-120" yWindow="-120" windowWidth="20730" windowHeight="11040" activeTab="5" xr2:uid="{00000000-000D-0000-FFFF-FFFF00000000}"/>
  </bookViews>
  <sheets>
    <sheet name="Sheet7" sheetId="13" r:id="rId1"/>
    <sheet name="Sheet1" sheetId="14" r:id="rId2"/>
    <sheet name="Sheet2" sheetId="15" r:id="rId3"/>
    <sheet name="Sheet4" sheetId="17" r:id="rId4"/>
    <sheet name="SalesData" sheetId="1" r:id="rId5"/>
    <sheet name="Dashboard" sheetId="6" r:id="rId6"/>
    <sheet name="Summary" sheetId="2" r:id="rId7"/>
  </sheets>
  <definedNames>
    <definedName name="Slicer_Category">#N/A</definedName>
    <definedName name="Slicer_Quantity">#N/A</definedName>
    <definedName name="Slicer_State1">#N/A</definedName>
    <definedName name="Slicer_Year1">#N/A</definedName>
  </definedNames>
  <calcPr calcId="191029" iterateDelta="1E-4"/>
  <pivotCaches>
    <pivotCache cacheId="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6" l="1"/>
  <c r="L6" i="6"/>
  <c r="H6" i="6"/>
  <c r="D6" i="6"/>
  <c r="A6"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alcChain>
</file>

<file path=xl/sharedStrings.xml><?xml version="1.0" encoding="utf-8"?>
<sst xmlns="http://schemas.openxmlformats.org/spreadsheetml/2006/main" count="4920" uniqueCount="741">
  <si>
    <t>Order ID</t>
  </si>
  <si>
    <t>Order Date</t>
  </si>
  <si>
    <t>Customer Name</t>
  </si>
  <si>
    <t>State</t>
  </si>
  <si>
    <t>City</t>
  </si>
  <si>
    <t>Category</t>
  </si>
  <si>
    <t>Sub-Category</t>
  </si>
  <si>
    <t>Product Name</t>
  </si>
  <si>
    <t>Sales</t>
  </si>
  <si>
    <t>Quantity</t>
  </si>
  <si>
    <t>Profit</t>
  </si>
  <si>
    <t>Order Status</t>
  </si>
  <si>
    <t>Year</t>
  </si>
  <si>
    <t>Month</t>
  </si>
  <si>
    <t>ORD-10002</t>
  </si>
  <si>
    <t>Robert Brown</t>
  </si>
  <si>
    <t>Texas</t>
  </si>
  <si>
    <t>Houston</t>
  </si>
  <si>
    <t>Technology</t>
  </si>
  <si>
    <t>Machines</t>
  </si>
  <si>
    <t>HP LaserJet Printer</t>
  </si>
  <si>
    <t>Delivered</t>
  </si>
  <si>
    <t>ORD-10003</t>
  </si>
  <si>
    <t>Tracy Blumstein</t>
  </si>
  <si>
    <t>California</t>
  </si>
  <si>
    <t>Los Angeles</t>
  </si>
  <si>
    <t>Furniture</t>
  </si>
  <si>
    <t>Chairs</t>
  </si>
  <si>
    <t>Executive Leather Chair</t>
  </si>
  <si>
    <t>Cancelled</t>
  </si>
  <si>
    <t>ORD-10004</t>
  </si>
  <si>
    <t>Sandra Flanagan</t>
  </si>
  <si>
    <t>Copiers</t>
  </si>
  <si>
    <t>Sharp Digital Copier</t>
  </si>
  <si>
    <t>ORD-10005</t>
  </si>
  <si>
    <t>Sean O'Donnell</t>
  </si>
  <si>
    <t>Washington</t>
  </si>
  <si>
    <t>Tacoma</t>
  </si>
  <si>
    <t>Returned</t>
  </si>
  <si>
    <t>ORD-10006</t>
  </si>
  <si>
    <t>Pete Kriz</t>
  </si>
  <si>
    <t>North Carolina</t>
  </si>
  <si>
    <t>Charlotte</t>
  </si>
  <si>
    <t>Phones</t>
  </si>
  <si>
    <t>Mitel 5320 IP Phone</t>
  </si>
  <si>
    <t>ORD-10007</t>
  </si>
  <si>
    <t>Irene Maddox</t>
  </si>
  <si>
    <t>Seattle</t>
  </si>
  <si>
    <t>Office Supplies</t>
  </si>
  <si>
    <t>Storage</t>
  </si>
  <si>
    <t>Fellowes File Cart</t>
  </si>
  <si>
    <t>ORD-10008</t>
  </si>
  <si>
    <t>Georgia</t>
  </si>
  <si>
    <t>Savannah</t>
  </si>
  <si>
    <t>Accessories</t>
  </si>
  <si>
    <t>Logitech Wireless Mouse</t>
  </si>
  <si>
    <t>ORD-10009</t>
  </si>
  <si>
    <t>Alejandro Grove</t>
  </si>
  <si>
    <t>Durham</t>
  </si>
  <si>
    <t>Binders</t>
  </si>
  <si>
    <t>Wilson Jones Hanging Binder</t>
  </si>
  <si>
    <t>ORD-10010</t>
  </si>
  <si>
    <t>Daniel Smith</t>
  </si>
  <si>
    <t>Raleigh</t>
  </si>
  <si>
    <t>ORD-10011</t>
  </si>
  <si>
    <t>Maria Johnson</t>
  </si>
  <si>
    <t>New York</t>
  </si>
  <si>
    <t>Rochester</t>
  </si>
  <si>
    <t>Art</t>
  </si>
  <si>
    <t>Newell 322</t>
  </si>
  <si>
    <t>ORD-10012</t>
  </si>
  <si>
    <t>Austin</t>
  </si>
  <si>
    <t>Canon ImageCLASS Printer</t>
  </si>
  <si>
    <t>ORD-10013</t>
  </si>
  <si>
    <t>Arizona</t>
  </si>
  <si>
    <t>Phoenix</t>
  </si>
  <si>
    <t>Cisco SPA 501G IP Phone</t>
  </si>
  <si>
    <t>ORD-10014</t>
  </si>
  <si>
    <t>Aisha Khan</t>
  </si>
  <si>
    <t>Colorado</t>
  </si>
  <si>
    <t>Denver</t>
  </si>
  <si>
    <t>Tables</t>
  </si>
  <si>
    <t>Global Deluxe Table</t>
  </si>
  <si>
    <t>ORD-10015</t>
  </si>
  <si>
    <t>Priya Patel</t>
  </si>
  <si>
    <t>ORD-10016</t>
  </si>
  <si>
    <t>Illinois</t>
  </si>
  <si>
    <t>Springfield</t>
  </si>
  <si>
    <t>ORD-10017</t>
  </si>
  <si>
    <t>Bookcases</t>
  </si>
  <si>
    <t>Bush Somerset Collection Bookcase</t>
  </si>
  <si>
    <t>ORD-10018</t>
  </si>
  <si>
    <t>Harold Pawlan</t>
  </si>
  <si>
    <t>ORD-10019</t>
  </si>
  <si>
    <t>Appliances</t>
  </si>
  <si>
    <t>Beverage Center</t>
  </si>
  <si>
    <t>ORD-10020</t>
  </si>
  <si>
    <t>Tucson</t>
  </si>
  <si>
    <t>Furnishings</t>
  </si>
  <si>
    <t>Eldon Fold'N Roll Cart</t>
  </si>
  <si>
    <t>ORD-10021</t>
  </si>
  <si>
    <t>Hon Deluxe Fabric Chair</t>
  </si>
  <si>
    <t>ORD-10022</t>
  </si>
  <si>
    <t>San Francisco</t>
  </si>
  <si>
    <t>Holmes Replacement Filter</t>
  </si>
  <si>
    <t>ORD-10023</t>
  </si>
  <si>
    <t>ORD-10024</t>
  </si>
  <si>
    <t>Atlanta</t>
  </si>
  <si>
    <t>Imation Flash Drive</t>
  </si>
  <si>
    <t>ORD-10025</t>
  </si>
  <si>
    <t>ORD-10026</t>
  </si>
  <si>
    <t>Emily Burns</t>
  </si>
  <si>
    <t>Bretford Conference Table</t>
  </si>
  <si>
    <t>ORD-10027</t>
  </si>
  <si>
    <t>Brosina Hoffman</t>
  </si>
  <si>
    <t>ORD-10028</t>
  </si>
  <si>
    <t>Peoria</t>
  </si>
  <si>
    <t>ORD-10029</t>
  </si>
  <si>
    <t>Chicago</t>
  </si>
  <si>
    <t>ORD-10030</t>
  </si>
  <si>
    <t>Andrew Allen</t>
  </si>
  <si>
    <t>ORD-10031</t>
  </si>
  <si>
    <t>ORD-10032</t>
  </si>
  <si>
    <t>ORD-10033</t>
  </si>
  <si>
    <t>Eric Hoffmann</t>
  </si>
  <si>
    <t>Florida</t>
  </si>
  <si>
    <t>Orlando</t>
  </si>
  <si>
    <t>ORD-10034</t>
  </si>
  <si>
    <t>Spokane</t>
  </si>
  <si>
    <t>ORD-10035</t>
  </si>
  <si>
    <t>Envelopes</t>
  </si>
  <si>
    <t>Coin Envelopes</t>
  </si>
  <si>
    <t>ORD-10036</t>
  </si>
  <si>
    <t>Michael Davis</t>
  </si>
  <si>
    <t>ORD-10037</t>
  </si>
  <si>
    <t>ORD-10038</t>
  </si>
  <si>
    <t>ORD-10039</t>
  </si>
  <si>
    <t>Ken Black</t>
  </si>
  <si>
    <t>Boulder</t>
  </si>
  <si>
    <t>Poly String Tie Envelopes</t>
  </si>
  <si>
    <t>ORD-10040</t>
  </si>
  <si>
    <t>Tampa</t>
  </si>
  <si>
    <t>Avery Durable Binder</t>
  </si>
  <si>
    <t>ORD-10041</t>
  </si>
  <si>
    <t>Augusta</t>
  </si>
  <si>
    <t>ORD-10042</t>
  </si>
  <si>
    <t>Miami</t>
  </si>
  <si>
    <t>Canon Color Copier</t>
  </si>
  <si>
    <t>ORD-10043</t>
  </si>
  <si>
    <t>Aurora</t>
  </si>
  <si>
    <t>ORD-10044</t>
  </si>
  <si>
    <t>Paper</t>
  </si>
  <si>
    <t>Hammermill Copy Paper</t>
  </si>
  <si>
    <t>ORD-10045</t>
  </si>
  <si>
    <t>ORD-10046</t>
  </si>
  <si>
    <t>ORD-10047</t>
  </si>
  <si>
    <t>ORD-10048</t>
  </si>
  <si>
    <t>ORD-10049</t>
  </si>
  <si>
    <t>Sterilite Storage Box</t>
  </si>
  <si>
    <t>ORD-10050</t>
  </si>
  <si>
    <t>Claire Gute</t>
  </si>
  <si>
    <t>ORD-10051</t>
  </si>
  <si>
    <t>Office Star Mesh Chair</t>
  </si>
  <si>
    <t>ORD-10052</t>
  </si>
  <si>
    <t>ORD-10053</t>
  </si>
  <si>
    <t>ORD-10054</t>
  </si>
  <si>
    <t>ORD-10055</t>
  </si>
  <si>
    <t>ORD-10056</t>
  </si>
  <si>
    <t>ORD-10057</t>
  </si>
  <si>
    <t>ORD-10058</t>
  </si>
  <si>
    <t>ORD-10059</t>
  </si>
  <si>
    <t>ORD-10060</t>
  </si>
  <si>
    <t>ORD-10061</t>
  </si>
  <si>
    <t>ORD-10062</t>
  </si>
  <si>
    <t>Xerox 1967</t>
  </si>
  <si>
    <t>ORD-10063</t>
  </si>
  <si>
    <t>Desk Organizer</t>
  </si>
  <si>
    <t>ORD-10064</t>
  </si>
  <si>
    <t>ORD-10065</t>
  </si>
  <si>
    <t>ORD-10066</t>
  </si>
  <si>
    <t>New York City</t>
  </si>
  <si>
    <t>ORD-10067</t>
  </si>
  <si>
    <t>ORD-10068</t>
  </si>
  <si>
    <t>ORD-10069</t>
  </si>
  <si>
    <t>ORD-10070</t>
  </si>
  <si>
    <t>ORD-10071</t>
  </si>
  <si>
    <t>ORD-10072</t>
  </si>
  <si>
    <t>ORD-10073</t>
  </si>
  <si>
    <t>ORD-10074</t>
  </si>
  <si>
    <t>ORD-10075</t>
  </si>
  <si>
    <t>Dallas</t>
  </si>
  <si>
    <t>ORD-10076</t>
  </si>
  <si>
    <t>ORD-10077</t>
  </si>
  <si>
    <t>ORD-10078</t>
  </si>
  <si>
    <t>ORD-10079</t>
  </si>
  <si>
    <t>ORD-10080</t>
  </si>
  <si>
    <t>ORD-10081</t>
  </si>
  <si>
    <t>ORD-10082</t>
  </si>
  <si>
    <t>Darrin Van Huff</t>
  </si>
  <si>
    <t>ORD-10083</t>
  </si>
  <si>
    <t>ORD-10084</t>
  </si>
  <si>
    <t>ORD-10085</t>
  </si>
  <si>
    <t>Staples Drawing Pad</t>
  </si>
  <si>
    <t>ORD-10086</t>
  </si>
  <si>
    <t>ORD-10087</t>
  </si>
  <si>
    <t>ORD-10088</t>
  </si>
  <si>
    <t>ORD-10089</t>
  </si>
  <si>
    <t>ORD-10090</t>
  </si>
  <si>
    <t>ORD-10091</t>
  </si>
  <si>
    <t>ORD-10092</t>
  </si>
  <si>
    <t>ORD-10093</t>
  </si>
  <si>
    <t>ORD-10094</t>
  </si>
  <si>
    <t>ORD-10095</t>
  </si>
  <si>
    <t>Mesa</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</si>
  <si>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</si>
  <si>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</si>
  <si>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</si>
  <si>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</si>
  <si>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</si>
  <si>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</si>
  <si>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</si>
  <si>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</si>
  <si>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</si>
  <si>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</si>
  <si>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</si>
  <si>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</si>
  <si>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</si>
  <si>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</si>
  <si>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</si>
  <si>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</si>
  <si>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</si>
  <si>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</si>
  <si>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</si>
  <si>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</si>
  <si>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</si>
  <si>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</si>
  <si>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</si>
  <si>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</si>
  <si>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</si>
  <si>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</si>
  <si>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</si>
  <si>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</si>
  <si>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</si>
  <si>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</si>
  <si>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</si>
  <si>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</si>
  <si>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</si>
  <si>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</si>
  <si>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</si>
  <si>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</si>
  <si>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</si>
  <si>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</si>
  <si>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</si>
  <si>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</si>
  <si>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</si>
  <si>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</si>
  <si>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</si>
  <si>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</si>
  <si>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</si>
  <si>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</si>
  <si>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</si>
  <si>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</si>
  <si>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</si>
  <si>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</si>
  <si>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</si>
  <si>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Sauder Classic Bookcase</t>
  </si>
  <si>
    <t>ORD-10147</t>
  </si>
  <si>
    <t>ORD-10148</t>
  </si>
  <si>
    <t>ORD-10149</t>
  </si>
  <si>
    <t>ORD-10150</t>
  </si>
  <si>
    <t>ORD-10151</t>
  </si>
  <si>
    <t>Buffalo</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</si>
  <si>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</si>
  <si>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</si>
  <si>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</si>
  <si>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</si>
  <si>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</si>
  <si>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</si>
  <si>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</si>
  <si>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</si>
  <si>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</si>
  <si>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</si>
  <si>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</si>
  <si>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</si>
  <si>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</si>
  <si>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</si>
  <si>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</si>
  <si>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</si>
  <si>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</si>
  <si>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</si>
  <si>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</si>
  <si>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</si>
  <si>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</si>
  <si>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</si>
  <si>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</si>
  <si>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</si>
  <si>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</si>
  <si>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</si>
  <si>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</si>
  <si>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</si>
  <si>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</si>
  <si>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</si>
  <si>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</si>
  <si>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</si>
  <si>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</si>
  <si>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</si>
  <si>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</si>
  <si>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</si>
  <si>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</si>
  <si>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</si>
  <si>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</si>
  <si>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</si>
  <si>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</si>
  <si>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</si>
  <si>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</si>
  <si>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</si>
  <si>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</si>
  <si>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</si>
  <si>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</si>
  <si>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</si>
  <si>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</si>
  <si>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</si>
  <si>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</si>
  <si>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</si>
  <si>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</si>
  <si>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</si>
  <si>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</si>
  <si>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</si>
  <si>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</si>
  <si>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</si>
  <si>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</si>
  <si>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</si>
  <si>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</si>
  <si>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</si>
  <si>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</si>
  <si>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</si>
  <si>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</si>
  <si>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</si>
  <si>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</si>
  <si>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</si>
  <si>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</si>
  <si>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</si>
  <si>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</si>
  <si>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</si>
  <si>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</si>
  <si>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</si>
  <si>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</si>
  <si>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</si>
  <si>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</si>
  <si>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</si>
  <si>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</si>
  <si>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</si>
  <si>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</si>
  <si>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</si>
  <si>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</si>
  <si>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</si>
  <si>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</si>
  <si>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</si>
  <si>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</si>
  <si>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</si>
  <si>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</si>
  <si>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</si>
  <si>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</si>
  <si>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</si>
  <si>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</si>
  <si>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</si>
  <si>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</si>
  <si>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</si>
  <si>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</si>
  <si>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</si>
  <si>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</si>
  <si>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</si>
  <si>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</si>
  <si>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</si>
  <si>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</si>
  <si>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</si>
  <si>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</si>
  <si>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San Diego</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</si>
  <si>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</si>
  <si>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</si>
  <si>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</si>
  <si>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</si>
  <si>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</si>
  <si>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</si>
  <si>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</si>
  <si>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</si>
  <si>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</si>
  <si>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</si>
  <si>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</si>
  <si>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</si>
  <si>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</si>
  <si>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</si>
  <si>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</si>
  <si>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</si>
  <si>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</si>
  <si>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</si>
  <si>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</si>
  <si>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</si>
  <si>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</si>
  <si>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</si>
  <si>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</si>
  <si>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</si>
  <si>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</si>
  <si>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</si>
  <si>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</si>
  <si>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</si>
  <si>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</si>
  <si>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</si>
  <si>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</si>
  <si>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</si>
  <si>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</si>
  <si>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</si>
  <si>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</si>
  <si>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</si>
  <si>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</si>
  <si>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</si>
  <si>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</si>
  <si>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</si>
  <si>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</si>
  <si>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</si>
  <si>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</si>
  <si>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</si>
  <si>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</si>
  <si>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</si>
  <si>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</si>
  <si>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</si>
  <si>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</si>
  <si>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</si>
  <si>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</si>
  <si>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</si>
  <si>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</si>
  <si>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</si>
  <si>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</si>
  <si>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</si>
  <si>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</si>
  <si>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</si>
  <si>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</si>
  <si>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</si>
  <si>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</si>
  <si>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</si>
  <si>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</si>
  <si>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</si>
  <si>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</si>
  <si>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</si>
  <si>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</si>
  <si>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</si>
  <si>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</si>
  <si>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</si>
  <si>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</si>
  <si>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</si>
  <si>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</si>
  <si>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</si>
  <si>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</si>
  <si>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</si>
  <si>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</si>
  <si>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</si>
  <si>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</si>
  <si>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</si>
  <si>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</si>
  <si>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</si>
  <si>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</si>
  <si>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</si>
  <si>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</si>
  <si>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</si>
  <si>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</si>
  <si>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</si>
  <si>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</si>
  <si>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</si>
  <si>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</si>
  <si>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</si>
  <si>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</si>
  <si>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</si>
  <si>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</si>
  <si>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</si>
  <si>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</si>
  <si>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</si>
  <si>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</si>
  <si>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</si>
  <si>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</si>
  <si>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</si>
  <si>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</si>
  <si>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</si>
  <si>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</si>
  <si>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</si>
  <si>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</si>
  <si>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</si>
  <si>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</si>
  <si>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</si>
  <si>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</si>
  <si>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</si>
  <si>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</si>
  <si>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</si>
  <si>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</si>
  <si>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</si>
  <si>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</si>
  <si>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</si>
  <si>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</si>
  <si>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</si>
  <si>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</si>
  <si>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</si>
  <si>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</si>
  <si>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</si>
  <si>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</si>
  <si>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</si>
  <si>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</si>
  <si>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</si>
  <si>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</si>
  <si>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</si>
  <si>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</si>
  <si>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</si>
  <si>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</si>
  <si>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</si>
  <si>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</si>
  <si>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</si>
  <si>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</si>
  <si>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</si>
  <si>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</si>
  <si>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</si>
  <si>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</si>
  <si>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</si>
  <si>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</si>
  <si>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</si>
  <si>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</si>
  <si>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</si>
  <si>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</si>
  <si>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</si>
  <si>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</si>
  <si>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</si>
  <si>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</si>
  <si>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</si>
  <si>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</si>
  <si>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</si>
  <si>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</si>
  <si>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</si>
  <si>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</si>
  <si>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</si>
  <si>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</si>
  <si>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</si>
  <si>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</si>
  <si>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</si>
  <si>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</si>
  <si>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</si>
  <si>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</si>
  <si>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</si>
  <si>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</si>
  <si>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</si>
  <si>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</si>
  <si>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</si>
  <si>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</si>
  <si>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</si>
  <si>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</si>
  <si>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</si>
  <si>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</si>
  <si>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</si>
  <si>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</si>
  <si>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</si>
  <si>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</si>
  <si>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</si>
  <si>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</si>
  <si>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</si>
  <si>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</si>
  <si>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</si>
  <si>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</si>
  <si>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</si>
  <si>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</si>
  <si>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</si>
  <si>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</si>
  <si>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</si>
  <si>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</si>
  <si>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</si>
  <si>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</si>
  <si>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</si>
  <si>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</si>
  <si>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</si>
  <si>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</si>
  <si>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</si>
  <si>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</si>
  <si>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</si>
  <si>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</si>
  <si>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</si>
  <si>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</si>
  <si>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</si>
  <si>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</si>
  <si>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</si>
  <si>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</si>
  <si>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</si>
  <si>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</si>
  <si>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</si>
  <si>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</si>
  <si>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</si>
  <si>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</si>
  <si>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</si>
  <si>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</si>
  <si>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</si>
  <si>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</si>
  <si>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</si>
  <si>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</si>
  <si>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</si>
  <si>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</si>
  <si>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</si>
  <si>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</si>
  <si>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</si>
  <si>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</si>
  <si>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</si>
  <si>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</si>
  <si>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</si>
  <si>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</si>
  <si>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</si>
  <si>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</si>
  <si>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</si>
  <si>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</si>
  <si>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</si>
  <si>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</si>
  <si>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</si>
  <si>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</si>
  <si>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</si>
  <si>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</si>
  <si>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</si>
  <si>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</si>
  <si>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</si>
  <si>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</si>
  <si>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</si>
  <si>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</si>
  <si>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</si>
  <si>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</si>
  <si>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</si>
  <si>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</si>
  <si>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</si>
  <si>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</si>
  <si>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</si>
  <si>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</si>
  <si>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</si>
  <si>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</si>
  <si>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</si>
  <si>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</si>
  <si>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</si>
  <si>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</si>
  <si>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</si>
  <si>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</si>
  <si>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</si>
  <si>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</si>
  <si>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</si>
  <si>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</si>
  <si>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</si>
  <si>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</si>
  <si>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</si>
  <si>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</si>
  <si>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</si>
  <si>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</si>
  <si>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</si>
  <si>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</si>
  <si>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</si>
  <si>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</si>
  <si>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</si>
  <si>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</si>
  <si>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</si>
  <si>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</si>
  <si>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</si>
  <si>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</si>
  <si>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</si>
  <si>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</si>
  <si>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</si>
  <si>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</si>
  <si>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</si>
  <si>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</si>
  <si>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</si>
  <si>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</si>
  <si>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</si>
  <si>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</si>
  <si>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</si>
  <si>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</si>
  <si>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</si>
  <si>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</si>
  <si>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</si>
  <si>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</si>
  <si>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</si>
  <si>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</si>
  <si>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</si>
  <si>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</si>
  <si>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</si>
  <si>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</si>
  <si>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</si>
  <si>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</si>
  <si>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</si>
  <si>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</si>
  <si>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</si>
  <si>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</si>
  <si>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</si>
  <si>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</si>
  <si>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</si>
  <si>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</si>
  <si>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</si>
  <si>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</si>
  <si>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</si>
  <si>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</si>
  <si>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</si>
  <si>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</si>
  <si>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</si>
  <si>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</si>
  <si>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</si>
  <si>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</si>
  <si>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</si>
  <si>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</si>
  <si>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</si>
  <si>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</si>
  <si>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</si>
  <si>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</si>
  <si>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</si>
  <si>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</si>
  <si>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</si>
  <si>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</si>
  <si>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</si>
  <si>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</si>
  <si>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</si>
  <si>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</si>
  <si>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</si>
  <si>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</si>
  <si>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</si>
  <si>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</si>
  <si>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</si>
  <si>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</si>
  <si>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</si>
  <si>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</si>
  <si>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Metric</t>
  </si>
  <si>
    <t>Value</t>
  </si>
  <si>
    <t>Total Records</t>
  </si>
  <si>
    <t>Total Sales</t>
  </si>
  <si>
    <t>Total Profit</t>
  </si>
  <si>
    <t>Average Order Value</t>
  </si>
  <si>
    <t>Average Discount</t>
  </si>
  <si>
    <t>Sales  Perfomance Dashboard</t>
  </si>
  <si>
    <t>Total sales</t>
  </si>
  <si>
    <t>Total Orders</t>
  </si>
  <si>
    <t>Total profit</t>
  </si>
  <si>
    <t>Total Customer</t>
  </si>
  <si>
    <t>Row Labels</t>
  </si>
  <si>
    <t>Grand Total</t>
  </si>
  <si>
    <t>Column Labels</t>
  </si>
  <si>
    <t>Sum of Profit</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</si>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</sst>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2"/>
      <color theme="1"/>
      <name val="Calibri"/>
      <family val="2"/>
      <scheme val="minor"/>
    </font>
    <font>
      <i/>
      <sz val="11"/>
      <color theme="1"/>
      <name val="Calibri"/>
      <family val="2"/>
      <scheme val="minor"/>
    </font>
    <font>
      <sz val="14"/>
      <color theme="1"/>
      <name val="Calibri"/>
      <family val="2"/>
      <scheme val="minor"/>
    </font>
    <font>
      <sz val="24"/>
      <color theme="0"/>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3"/>
        <bgColor indexed="64"/>
      </patternFill>
    </fill>
    <fill>
      <patternFill patternType="solid">
        <fgColor theme="0"/>
        <bgColor indexed="64"/>
      </patternFill>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2" fontId="0" fillId="0" borderId="0" xfId="0" applyNumberFormat="1"/>
    <xf numFmtId="2"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1" fontId="0" fillId="0" borderId="0" xfId="0" applyNumberFormat="1"/>
    <xf numFmtId="0" fontId="0" fillId="2" borderId="0" xfId="0" applyFill="1"/>
    <xf numFmtId="2" fontId="0" fillId="2" borderId="0" xfId="0" applyNumberFormat="1" applyFill="1"/>
    <xf numFmtId="0" fontId="0" fillId="2" borderId="0" xfId="0" applyFill="1" applyAlignment="1">
      <alignment vertical="center"/>
    </xf>
    <xf numFmtId="0" fontId="0" fillId="2" borderId="0" xfId="0" applyFill="1" applyAlignment="1">
      <alignment horizontal="center" vertical="center"/>
    </xf>
    <xf numFmtId="2" fontId="3" fillId="2" borderId="0" xfId="0" applyNumberFormat="1" applyFont="1" applyFill="1"/>
    <xf numFmtId="0" fontId="2" fillId="2" borderId="0" xfId="0" applyFont="1" applyFill="1" applyAlignment="1">
      <alignment horizontal="center" vertical="center"/>
    </xf>
    <xf numFmtId="2" fontId="2" fillId="2" borderId="0" xfId="0" applyNumberFormat="1" applyFont="1" applyFill="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xf>
    <xf numFmtId="0" fontId="4" fillId="2" borderId="0" xfId="0" applyFont="1" applyFill="1"/>
    <xf numFmtId="0" fontId="0" fillId="3" borderId="0" xfId="0" applyFill="1"/>
    <xf numFmtId="0" fontId="0" fillId="4" borderId="0" xfId="0" applyFill="1"/>
    <xf numFmtId="0" fontId="0" fillId="0" borderId="0" xfId="0" pivotButton="1"/>
    <xf numFmtId="0" fontId="0" fillId="0" borderId="0" xfId="0" applyAlignment="1">
      <alignment horizontal="left"/>
    </xf>
    <xf numFmtId="0" fontId="4" fillId="5" borderId="0" xfId="0" applyFont="1" applyFill="1" applyAlignment="1">
      <alignment horizontal="center" vertical="center"/>
    </xf>
    <xf numFmtId="2" fontId="2" fillId="5" borderId="0" xfId="0" applyNumberFormat="1" applyFont="1" applyFill="1" applyAlignment="1">
      <alignment horizontal="center" vertical="center"/>
    </xf>
    <xf numFmtId="2" fontId="0" fillId="5" borderId="0" xfId="0" applyNumberFormat="1" applyFill="1" applyAlignment="1">
      <alignment horizontal="center"/>
    </xf>
    <xf numFmtId="0" fontId="4" fillId="2" borderId="0" xfId="0" applyFont="1" applyFill="1" applyAlignment="1">
      <alignment horizontal="center" vertical="center"/>
    </xf>
    <xf numFmtId="0" fontId="0" fillId="5"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xf>
    <xf numFmtId="0" fontId="0" fillId="2" borderId="0" xfId="0" applyFill="1" applyAlignment="1">
      <alignment horizontal="center"/>
    </xf>
    <xf numFmtId="0" fontId="5" fillId="3" borderId="0" xfId="0" applyFont="1" applyFill="1" applyAlignment="1">
      <alignment horizontal="center" vertical="top"/>
    </xf>
    <xf numFmtId="2" fontId="0" fillId="2" borderId="0" xfId="0" applyNumberFormat="1" applyFill="1" applyAlignment="1">
      <alignment horizontal="center"/>
    </xf>
    <xf numFmtId="0" fontId="4" fillId="4" borderId="0" xfId="0" applyFont="1" applyFill="1" applyAlignment="1">
      <alignment horizontal="center" vertical="center"/>
    </xf>
    <xf numFmtId="0" fontId="4" fillId="4" borderId="0" xfId="0" applyFont="1" applyFill="1" applyAlignment="1">
      <alignment horizontal="center" vertical="center"/>
    </xf>
    <xf numFmtId="0" fontId="4" fillId="4" borderId="0" xfId="0" applyFont="1" applyFill="1" applyBorder="1" applyAlignment="1">
      <alignment horizontal="center" vertical="center"/>
    </xf>
    <xf numFmtId="0" fontId="0" fillId="4" borderId="0" xfId="0" applyFill="1" applyAlignment="1">
      <alignment horizontal="center"/>
    </xf>
    <xf numFmtId="0" fontId="0" fillId="4" borderId="0" xfId="0" applyFill="1" applyAlignment="1">
      <alignment horizontal="center" vertical="center"/>
    </xf>
    <xf numFmtId="2" fontId="2" fillId="4" borderId="0" xfId="0" applyNumberFormat="1" applyFont="1" applyFill="1" applyAlignment="1">
      <alignment horizontal="center" vertical="center"/>
    </xf>
    <xf numFmtId="2" fontId="0" fillId="4" borderId="0" xfId="0" applyNumberFormat="1" applyFill="1" applyBorder="1" applyAlignment="1">
      <alignment horizontal="center"/>
    </xf>
  </cellXfs>
  <cellStyles count="1">
    <cellStyle name="Normal" xfId="0" builtinId="0"/>
  </cellStyles>
  <dxfs count="8">
    <dxf>
      <numFmt numFmtId="0" formatCode="General"/>
    </dxf>
    <dxf>
      <numFmt numFmtId="2" formatCode="0.00"/>
    </dxf>
    <dxf>
      <numFmt numFmtId="1" formatCode="0"/>
    </dxf>
    <dxf>
      <numFmt numFmtId="2"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[Sales_Performance_Dashboard.xlsx]Sheet7!PivotTable11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Sales Trend</a:t>
            </a:r>
            <a:endParaRPr lang="en-IN" sz="1600" b="1"/>
          </a:p>
        </c:rich>
      </c:tx>
      <c:layout>
        <c:manualLayout>
          <c:xMode val="edge"/>
          <c:yMode val="edge"/>
          <c:x val="0.32935430698963902"/>
          <c:y val="3.8046582666181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6677537182852142"/>
          <c:y val="0.15638670166229221"/>
          <c:w val="0.63739129483814527"/>
          <c:h val="0.65853091280256637"/>
        </c:manualLayout>
      </c:layout>
      <c:lineChart>
        <c:grouping val="stacked"/>
        <c:varyColors val="0"/>
        <c:ser>
          <c:idx val="0"/>
          <c:order val="0"/>
          <c:tx>
            <c:strRef>
              <c:f>Sheet7!$B$3:$B$4</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Sheet7!$B$5:$B$17</c:f>
              <c:numCache>
                <c:formatCode>0.00</c:formatCode>
                <c:ptCount val="12"/>
                <c:pt idx="0">
                  <c:v>11296.930000000002</c:v>
                </c:pt>
                <c:pt idx="1">
                  <c:v>4900.55</c:v>
                </c:pt>
                <c:pt idx="2">
                  <c:v>8065.4400000000005</c:v>
                </c:pt>
                <c:pt idx="3">
                  <c:v>5382.01</c:v>
                </c:pt>
                <c:pt idx="4">
                  <c:v>1941.9700000000003</c:v>
                </c:pt>
                <c:pt idx="5">
                  <c:v>7949.72</c:v>
                </c:pt>
                <c:pt idx="6">
                  <c:v>6716.36</c:v>
                </c:pt>
                <c:pt idx="7">
                  <c:v>2702.98</c:v>
                </c:pt>
                <c:pt idx="8">
                  <c:v>4412.8900000000003</c:v>
                </c:pt>
                <c:pt idx="9">
                  <c:v>10502.359999999999</c:v>
                </c:pt>
                <c:pt idx="10">
                  <c:v>5278.4</c:v>
                </c:pt>
                <c:pt idx="11">
                  <c:v>7090.2099999999991</c:v>
                </c:pt>
              </c:numCache>
            </c:numRef>
          </c:val>
          <c:smooth val="0"/>
          <c:extLst>
            <c:ext xmlns:c16="http://schemas.microsoft.com/office/drawing/2014/chart" uri="{C3380CC4-5D6E-409C-BE32-E72D297353CC}">
              <c16:uniqueId val="{00000000-344B-4B7F-B245-40FC86D45AC1}"/>
            </c:ext>
          </c:extLst>
        </c:ser>
        <c:ser>
          <c:idx val="1"/>
          <c:order val="1"/>
          <c:tx>
            <c:strRef>
              <c:f>Sheet7!$C$3:$C$4</c:f>
              <c:strCache>
                <c:ptCount val="1"/>
                <c:pt idx="0">
                  <c:v>Delivered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Sheet7!$C$5:$C$17</c:f>
              <c:numCache>
                <c:formatCode>0.00</c:formatCode>
                <c:ptCount val="12"/>
                <c:pt idx="0">
                  <c:v>25588.540000000005</c:v>
                </c:pt>
                <c:pt idx="1">
                  <c:v>14611.660000000002</c:v>
                </c:pt>
                <c:pt idx="2">
                  <c:v>17407.830000000002</c:v>
                </c:pt>
                <c:pt idx="3">
                  <c:v>27897.579999999994</c:v>
                </c:pt>
                <c:pt idx="4">
                  <c:v>16370.73</c:v>
                </c:pt>
                <c:pt idx="5">
                  <c:v>15220.800000000001</c:v>
                </c:pt>
                <c:pt idx="6">
                  <c:v>23391.449999999997</c:v>
                </c:pt>
                <c:pt idx="7">
                  <c:v>20504.03</c:v>
                </c:pt>
                <c:pt idx="8">
                  <c:v>28093.35</c:v>
                </c:pt>
                <c:pt idx="9">
                  <c:v>30934.639999999999</c:v>
                </c:pt>
                <c:pt idx="10">
                  <c:v>20591.63</c:v>
                </c:pt>
                <c:pt idx="11">
                  <c:v>25015.57</c:v>
                </c:pt>
              </c:numCache>
            </c:numRef>
          </c:val>
          <c:smooth val="0"/>
          <c:extLst>
            <c:ext xmlns:c16="http://schemas.microsoft.com/office/drawing/2014/chart" uri="{C3380CC4-5D6E-409C-BE32-E72D297353CC}">
              <c16:uniqueId val="{00000004-344B-4B7F-B245-40FC86D45AC1}"/>
            </c:ext>
          </c:extLst>
        </c:ser>
        <c:ser>
          <c:idx val="2"/>
          <c:order val="2"/>
          <c:tx>
            <c:strRef>
              <c:f>Sheet7!$D$3:$D$4</c:f>
              <c:strCache>
                <c:ptCount val="1"/>
                <c:pt idx="0">
                  <c:v>Returned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Sheet7!$A$5:$A$17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Sheet7!$D$5:$D$17</c:f>
              <c:numCache>
                <c:formatCode>0.00</c:formatCode>
                <c:ptCount val="12"/>
                <c:pt idx="0">
                  <c:v>5786.32</c:v>
                </c:pt>
                <c:pt idx="1">
                  <c:v>4481.83</c:v>
                </c:pt>
                <c:pt idx="2">
                  <c:v>7941.27</c:v>
                </c:pt>
                <c:pt idx="3">
                  <c:v>3571.8399999999997</c:v>
                </c:pt>
                <c:pt idx="4">
                  <c:v>6237.87</c:v>
                </c:pt>
                <c:pt idx="5">
                  <c:v>10669.480000000001</c:v>
                </c:pt>
                <c:pt idx="6">
                  <c:v>6638.29</c:v>
                </c:pt>
                <c:pt idx="7">
                  <c:v>8027.42</c:v>
                </c:pt>
                <c:pt idx="8">
                  <c:v>9993.5600000000013</c:v>
                </c:pt>
                <c:pt idx="9">
                  <c:v>7422.07</c:v>
                </c:pt>
                <c:pt idx="10">
                  <c:v>14099.369999999999</c:v>
                </c:pt>
                <c:pt idx="11">
                  <c:v>5514.4599999999991</c:v>
                </c:pt>
              </c:numCache>
            </c:numRef>
          </c:val>
          <c:smooth val="0"/>
          <c:extLst>
            <c:ext xmlns:c16="http://schemas.microsoft.com/office/drawing/2014/chart" uri="{C3380CC4-5D6E-409C-BE32-E72D297353CC}">
              <c16:uniqueId val="{00000005-344B-4B7F-B245-40FC86D45AC1}"/>
            </c:ext>
          </c:extLst>
        </c:ser>
        <c:dLbls>
          <c:showLegendKey val="0"/>
          <c:showVal val="0"/>
          <c:showCatName val="0"/>
          <c:showSerName val="0"/>
          <c:showPercent val="0"/>
          <c:showBubbleSize val="0"/>
        </c:dLbls>
        <c:marker val="1"/>
        <c:smooth val="0"/>
        <c:axId val="1445846128"/>
        <c:axId val="1106169936"/>
      </c:lineChart>
      <c:catAx>
        <c:axId val="14458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69936"/>
        <c:crosses val="autoZero"/>
        <c:auto val="1"/>
        <c:lblAlgn val="ctr"/>
        <c:lblOffset val="100"/>
        <c:noMultiLvlLbl val="0"/>
      </c:catAx>
      <c:valAx>
        <c:axId val="1106169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4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Category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71216097987751"/>
          <c:y val="0.25402559055118112"/>
          <c:w val="0.41147353455818025"/>
          <c:h val="0.68578922426363376"/>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0D-4A52-919C-3E591FA123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0D-4A52-919C-3E591FA123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0D-4A52-919C-3E591FA123F8}"/>
              </c:ext>
            </c:extLst>
          </c:dPt>
          <c:cat>
            <c:strRef>
              <c:f>Sheet1!$A$4:$A$7</c:f>
              <c:strCache>
                <c:ptCount val="3"/>
                <c:pt idx="0">
                  <c:v>Furniture</c:v>
                </c:pt>
                <c:pt idx="1">
                  <c:v>Office Supplies</c:v>
                </c:pt>
                <c:pt idx="2">
                  <c:v>Technology</c:v>
                </c:pt>
              </c:strCache>
            </c:strRef>
          </c:cat>
          <c:val>
            <c:numRef>
              <c:f>Sheet1!$B$4:$B$7</c:f>
              <c:numCache>
                <c:formatCode>0.00</c:formatCode>
                <c:ptCount val="3"/>
                <c:pt idx="0">
                  <c:v>130141.9599999999</c:v>
                </c:pt>
                <c:pt idx="1">
                  <c:v>152980.20000000007</c:v>
                </c:pt>
                <c:pt idx="2">
                  <c:v>149129.25000000003</c:v>
                </c:pt>
              </c:numCache>
            </c:numRef>
          </c:val>
          <c:extLst>
            <c:ext xmlns:c16="http://schemas.microsoft.com/office/drawing/2014/chart" uri="{C3380CC4-5D6E-409C-BE32-E72D297353CC}">
              <c16:uniqueId val="{00000006-E90D-4A52-919C-3E591FA123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By Catrgory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Bush Somerset Collection Bookcase</c:v>
                </c:pt>
                <c:pt idx="1">
                  <c:v>Canon ImageCLASS Printer</c:v>
                </c:pt>
                <c:pt idx="2">
                  <c:v>Cisco SPA 501G IP Phone</c:v>
                </c:pt>
                <c:pt idx="3">
                  <c:v>Global Deluxe Table</c:v>
                </c:pt>
                <c:pt idx="4">
                  <c:v>HP LaserJet Printer</c:v>
                </c:pt>
                <c:pt idx="5">
                  <c:v>Logitech Wireless Mouse</c:v>
                </c:pt>
                <c:pt idx="6">
                  <c:v>Mitel 5320 IP Phone</c:v>
                </c:pt>
                <c:pt idx="7">
                  <c:v>Newell 322</c:v>
                </c:pt>
                <c:pt idx="8">
                  <c:v>Sharp Digital Copier</c:v>
                </c:pt>
                <c:pt idx="9">
                  <c:v>Staples Drawing Pad</c:v>
                </c:pt>
              </c:strCache>
            </c:strRef>
          </c:cat>
          <c:val>
            <c:numRef>
              <c:f>Sheet2!$B$4:$B$14</c:f>
              <c:numCache>
                <c:formatCode>0</c:formatCode>
                <c:ptCount val="10"/>
                <c:pt idx="0">
                  <c:v>117</c:v>
                </c:pt>
                <c:pt idx="1">
                  <c:v>143</c:v>
                </c:pt>
                <c:pt idx="2">
                  <c:v>113</c:v>
                </c:pt>
                <c:pt idx="3">
                  <c:v>117</c:v>
                </c:pt>
                <c:pt idx="4">
                  <c:v>111</c:v>
                </c:pt>
                <c:pt idx="5">
                  <c:v>192</c:v>
                </c:pt>
                <c:pt idx="6">
                  <c:v>117</c:v>
                </c:pt>
                <c:pt idx="7">
                  <c:v>115</c:v>
                </c:pt>
                <c:pt idx="8">
                  <c:v>116</c:v>
                </c:pt>
                <c:pt idx="9">
                  <c:v>113</c:v>
                </c:pt>
              </c:numCache>
            </c:numRef>
          </c:val>
          <c:extLst>
            <c:ext xmlns:c16="http://schemas.microsoft.com/office/drawing/2014/chart" uri="{C3380CC4-5D6E-409C-BE32-E72D297353CC}">
              <c16:uniqueId val="{00000000-E2AC-4D26-96C8-68E36ED3F1A8}"/>
            </c:ext>
          </c:extLst>
        </c:ser>
        <c:dLbls>
          <c:showLegendKey val="0"/>
          <c:showVal val="0"/>
          <c:showCatName val="0"/>
          <c:showSerName val="0"/>
          <c:showPercent val="0"/>
          <c:showBubbleSize val="0"/>
        </c:dLbls>
        <c:gapWidth val="219"/>
        <c:overlap val="-27"/>
        <c:axId val="664835215"/>
        <c:axId val="542211471"/>
      </c:barChart>
      <c:catAx>
        <c:axId val="6648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1471"/>
        <c:crosses val="autoZero"/>
        <c:auto val="1"/>
        <c:lblAlgn val="ctr"/>
        <c:lblOffset val="100"/>
        <c:noMultiLvlLbl val="0"/>
      </c:catAx>
      <c:valAx>
        <c:axId val="54221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State</a:t>
            </a:r>
            <a:r>
              <a:rPr lang="en-US" sz="1600" b="1" baseline="0"/>
              <a:t> Wise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Arizona</c:v>
                </c:pt>
                <c:pt idx="1">
                  <c:v>California</c:v>
                </c:pt>
                <c:pt idx="2">
                  <c:v>Colorado</c:v>
                </c:pt>
                <c:pt idx="3">
                  <c:v>Florida</c:v>
                </c:pt>
                <c:pt idx="4">
                  <c:v>Georgia</c:v>
                </c:pt>
                <c:pt idx="5">
                  <c:v>Illinois</c:v>
                </c:pt>
                <c:pt idx="6">
                  <c:v>New York</c:v>
                </c:pt>
                <c:pt idx="7">
                  <c:v>North Carolina</c:v>
                </c:pt>
                <c:pt idx="8">
                  <c:v>Texas</c:v>
                </c:pt>
                <c:pt idx="9">
                  <c:v>Washington</c:v>
                </c:pt>
              </c:strCache>
            </c:strRef>
          </c:cat>
          <c:val>
            <c:numRef>
              <c:f>Sheet4!$B$4:$B$14</c:f>
              <c:numCache>
                <c:formatCode>0.00</c:formatCode>
                <c:ptCount val="10"/>
                <c:pt idx="0">
                  <c:v>147454.21</c:v>
                </c:pt>
                <c:pt idx="1">
                  <c:v>94211.049999999988</c:v>
                </c:pt>
                <c:pt idx="2">
                  <c:v>112427.93999999999</c:v>
                </c:pt>
                <c:pt idx="3">
                  <c:v>85414.079999999987</c:v>
                </c:pt>
                <c:pt idx="4">
                  <c:v>112950.46999999999</c:v>
                </c:pt>
                <c:pt idx="5">
                  <c:v>102999.05000000002</c:v>
                </c:pt>
                <c:pt idx="6">
                  <c:v>116912.81000000001</c:v>
                </c:pt>
                <c:pt idx="7">
                  <c:v>131682.53</c:v>
                </c:pt>
                <c:pt idx="8">
                  <c:v>166902.62999999998</c:v>
                </c:pt>
                <c:pt idx="9">
                  <c:v>122877.27999999998</c:v>
                </c:pt>
              </c:numCache>
            </c:numRef>
          </c:val>
          <c:extLst>
            <c:ext xmlns:c16="http://schemas.microsoft.com/office/drawing/2014/chart" uri="{C3380CC4-5D6E-409C-BE32-E72D297353CC}">
              <c16:uniqueId val="{00000000-6A37-4DFB-B5D2-961F3C7CD35D}"/>
            </c:ext>
          </c:extLst>
        </c:ser>
        <c:dLbls>
          <c:showLegendKey val="0"/>
          <c:showVal val="0"/>
          <c:showCatName val="0"/>
          <c:showSerName val="0"/>
          <c:showPercent val="0"/>
          <c:showBubbleSize val="0"/>
        </c:dLbls>
        <c:gapWidth val="182"/>
        <c:axId val="783727295"/>
        <c:axId val="542125551"/>
      </c:barChart>
      <c:catAx>
        <c:axId val="78372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25551"/>
        <c:crosses val="autoZero"/>
        <c:auto val="1"/>
        <c:lblAlgn val="ctr"/>
        <c:lblOffset val="100"/>
        <c:noMultiLvlLbl val="0"/>
      </c:catAx>
      <c:valAx>
        <c:axId val="542125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495300</xdr:colOff>
      <xdr:row>2</xdr:row>
      <xdr:rowOff>66676</xdr:rowOff>
    </xdr:from>
    <xdr:to>
      <xdr:col>13</xdr:col>
      <xdr:colOff>495300</xdr:colOff>
      <xdr:row>8</xdr:row>
      <xdr:rowOff>104776</xdr:rowOff>
    </xdr:to>
    <mc:AlternateContent xmlns:mc="http://schemas.openxmlformats.org/markup-compatibility/2006">
      <mc:Choice xmlns:a14="http://schemas.microsoft.com/office/drawing/2010/main" Requires="a14">
        <xdr:graphicFrame macro="">
          <xdr:nvGraphicFramePr>
            <xdr:cNvPr id="3" name="Quantity">
              <a:extLst>
                <a:ext uri="{FF2B5EF4-FFF2-40B4-BE49-F238E27FC236}">
                  <a16:creationId xmlns:a16="http://schemas.microsoft.com/office/drawing/2014/main" id="{31237C2C-7B95-0E52-EA82-2055AB682ED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9124950" y="447676"/>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380176</xdr:colOff>
      <xdr:row>6</xdr:row>
      <xdr:rowOff>145521</xdr:rowOff>
    </xdr:from>
    <xdr:to>
      <xdr:col>11</xdr:col>
      <xdr:colOff>251354</xdr:colOff>
      <xdr:row>21</xdr:row>
      <xdr:rowOff>141824</xdr:rowOff>
    </xdr:to>
    <xdr:graphicFrame macro="">
      <xdr:nvGraphicFramePr>
        <xdr:cNvPr id="2" name="Chart 1">
          <a:extLst>
            <a:ext uri="{FF2B5EF4-FFF2-40B4-BE49-F238E27FC236}">
              <a16:creationId xmlns:a16="http://schemas.microsoft.com/office/drawing/2014/main" id="{32D8917A-2857-4654-994B-A85D9A05E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52917</xdr:colOff>
      <xdr:row>7</xdr:row>
      <xdr:rowOff>125413</xdr:rowOff>
    </xdr:from>
    <xdr:to>
      <xdr:col>3</xdr:col>
      <xdr:colOff>251354</xdr:colOff>
      <xdr:row>13</xdr:row>
      <xdr:rowOff>182823</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E393AD18-E16F-E9E6-04B8-C3697F3B6C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917" y="1677066"/>
              <a:ext cx="2349243" cy="1178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357187</xdr:colOff>
      <xdr:row>6</xdr:row>
      <xdr:rowOff>134677</xdr:rowOff>
    </xdr:from>
    <xdr:to>
      <xdr:col>19</xdr:col>
      <xdr:colOff>471826</xdr:colOff>
      <xdr:row>21</xdr:row>
      <xdr:rowOff>73293</xdr:rowOff>
    </xdr:to>
    <xdr:graphicFrame macro="">
      <xdr:nvGraphicFramePr>
        <xdr:cNvPr id="5" name="Chart 4">
          <a:extLst>
            <a:ext uri="{FF2B5EF4-FFF2-40B4-BE49-F238E27FC236}">
              <a16:creationId xmlns:a16="http://schemas.microsoft.com/office/drawing/2014/main" id="{2CD97397-BD98-4DAE-9ABA-5A0DB6620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79375</xdr:colOff>
      <xdr:row>15</xdr:row>
      <xdr:rowOff>27517</xdr:rowOff>
    </xdr:from>
    <xdr:to>
      <xdr:col>3</xdr:col>
      <xdr:colOff>198438</xdr:colOff>
      <xdr:row>21</xdr:row>
      <xdr:rowOff>127303</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69F4031C-7CA1-7087-EFBB-4311F18459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375" y="3146186"/>
              <a:ext cx="2269869" cy="1267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343959</xdr:colOff>
      <xdr:row>22</xdr:row>
      <xdr:rowOff>39687</xdr:rowOff>
    </xdr:from>
    <xdr:to>
      <xdr:col>11</xdr:col>
      <xdr:colOff>294746</xdr:colOff>
      <xdr:row>37</xdr:row>
      <xdr:rowOff>4762</xdr:rowOff>
    </xdr:to>
    <xdr:graphicFrame macro="">
      <xdr:nvGraphicFramePr>
        <xdr:cNvPr id="8" name="Chart 7">
          <a:extLst>
            <a:ext uri="{FF2B5EF4-FFF2-40B4-BE49-F238E27FC236}">
              <a16:creationId xmlns:a16="http://schemas.microsoft.com/office/drawing/2014/main" id="{0EE6A6FF-1B3F-42C3-99A6-9AD363A4E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23</xdr:row>
      <xdr:rowOff>91017</xdr:rowOff>
    </xdr:from>
    <xdr:to>
      <xdr:col>3</xdr:col>
      <xdr:colOff>211667</xdr:colOff>
      <xdr:row>28</xdr:row>
      <xdr:rowOff>151593</xdr:rowOff>
    </xdr:to>
    <mc:AlternateContent xmlns:mc="http://schemas.openxmlformats.org/markup-compatibility/2006">
      <mc:Choice xmlns:a14="http://schemas.microsoft.com/office/drawing/2010/main" Requires="a14">
        <xdr:graphicFrame macro="">
          <xdr:nvGraphicFramePr>
            <xdr:cNvPr id="10" name="Quantity 1">
              <a:extLst>
                <a:ext uri="{FF2B5EF4-FFF2-40B4-BE49-F238E27FC236}">
                  <a16:creationId xmlns:a16="http://schemas.microsoft.com/office/drawing/2014/main" id="{2CA8DF78-EB92-49C6-4023-E8DFCB2892C2}"/>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01600" y="4745977"/>
              <a:ext cx="2260873" cy="104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384070</xdr:colOff>
      <xdr:row>22</xdr:row>
      <xdr:rowOff>30726</xdr:rowOff>
    </xdr:from>
    <xdr:to>
      <xdr:col>19</xdr:col>
      <xdr:colOff>460886</xdr:colOff>
      <xdr:row>36</xdr:row>
      <xdr:rowOff>131507</xdr:rowOff>
    </xdr:to>
    <xdr:graphicFrame macro="">
      <xdr:nvGraphicFramePr>
        <xdr:cNvPr id="13" name="Chart 12">
          <a:extLst>
            <a:ext uri="{FF2B5EF4-FFF2-40B4-BE49-F238E27FC236}">
              <a16:creationId xmlns:a16="http://schemas.microsoft.com/office/drawing/2014/main" id="{D45F3EE2-833C-4561-9279-BBA0C0F44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122903</xdr:colOff>
      <xdr:row>30</xdr:row>
      <xdr:rowOff>0</xdr:rowOff>
    </xdr:from>
    <xdr:to>
      <xdr:col>3</xdr:col>
      <xdr:colOff>153629</xdr:colOff>
      <xdr:row>36</xdr:row>
      <xdr:rowOff>168992</xdr:rowOff>
    </xdr:to>
    <mc:AlternateContent xmlns:mc="http://schemas.openxmlformats.org/markup-compatibility/2006">
      <mc:Choice xmlns:a14="http://schemas.microsoft.com/office/drawing/2010/main" Requires="a14">
        <xdr:graphicFrame macro="">
          <xdr:nvGraphicFramePr>
            <xdr:cNvPr id="19" name="State 1">
              <a:extLst>
                <a:ext uri="{FF2B5EF4-FFF2-40B4-BE49-F238E27FC236}">
                  <a16:creationId xmlns:a16="http://schemas.microsoft.com/office/drawing/2014/main" id="{07346666-88D3-57FD-AEA1-4C032772001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2903" y="6006895"/>
              <a:ext cx="2181532" cy="1275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2.465289004627" createdVersion="8" refreshedVersion="8" minRefreshableVersion="3" recordCount="600" xr:uid="{597C2976-99AF-47F9-8F3F-C3A9A0EFA1E9}">
  <cacheSource type="worksheet">
    <worksheetSource name="Table2"/>
  </cacheSource>
  <cacheFields count="14">
    <cacheField name="Order ID" numFmtId="0">
      <sharedItems/>
    </cacheField>
    <cacheField name="Order Date" numFmtId="14">
      <sharedItems containsSemiMixedTypes="0" containsNonDate="0" containsDate="1" containsString="0" minDate="2023-01-05T00:00:00" maxDate="2025-12-31T00:00:00"/>
    </cacheField>
    <cacheField name="Customer Name" numFmtId="0">
      <sharedItems count="20">
        <s v="Emily Burns"/>
        <s v="Daniel Smith"/>
        <s v="Harold Pawlan"/>
        <s v="Irene Maddox"/>
        <s v="Darrin Van Huff"/>
        <s v="Claire Gute"/>
        <s v="Andrew Allen"/>
        <s v="Tracy Blumstein"/>
        <s v="Aisha Khan"/>
        <s v="Pete Kriz"/>
        <s v="Priya Patel"/>
        <s v="Ken Black"/>
        <s v="Sean O'Donnell"/>
        <s v="Michael Davis"/>
        <s v="Alejandro Grove"/>
        <s v="Eric Hoffmann"/>
        <s v="Brosina Hoffman"/>
        <s v="Robert Brown"/>
        <s v="Sandra Flanagan"/>
        <s v="Maria Johnson"/>
      </sharedItems>
    </cacheField>
    <cacheField name="State" numFmtId="0">
      <sharedItems count="10">
        <s v="Washington"/>
        <s v="Colorado"/>
        <s v="North Carolina"/>
        <s v="Georgia"/>
        <s v="Florida"/>
        <s v="Arizona"/>
        <s v="New York"/>
        <s v="Illinois"/>
        <s v="California"/>
        <s v="Texas"/>
      </sharedItems>
    </cacheField>
    <cacheField name="City" numFmtId="0">
      <sharedItems count="30">
        <s v="Spokane"/>
        <s v="Boulder"/>
        <s v="Charlotte"/>
        <s v="Tacoma"/>
        <s v="Savannah"/>
        <s v="Miami"/>
        <s v="Raleigh"/>
        <s v="Tucson"/>
        <s v="Buffalo"/>
        <s v="Orlando"/>
        <s v="Seattle"/>
        <s v="Denver"/>
        <s v="Tampa"/>
        <s v="Phoenix"/>
        <s v="Peoria"/>
        <s v="Chicago"/>
        <s v="Durham"/>
        <s v="Los Angeles"/>
        <s v="Houston"/>
        <s v="Austin"/>
        <s v="Augusta"/>
        <s v="Rochester"/>
        <s v="Aurora"/>
        <s v="New York City"/>
        <s v="Dallas"/>
        <s v="Mesa"/>
        <s v="Springfield"/>
        <s v="San Francisco"/>
        <s v="Atlanta"/>
        <s v="San Diego"/>
      </sharedItems>
    </cacheField>
    <cacheField name="Category" numFmtId="0">
      <sharedItems count="3">
        <s v="Office Supplies"/>
        <s v="Furniture"/>
        <s v="Technology"/>
      </sharedItems>
    </cacheField>
    <cacheField name="Sub-Category" numFmtId="0">
      <sharedItems count="14">
        <s v="Paper"/>
        <s v="Envelopes"/>
        <s v="Art"/>
        <s v="Chairs"/>
        <s v="Copiers"/>
        <s v="Appliances"/>
        <s v="Furnishings"/>
        <s v="Binders"/>
        <s v="Storage"/>
        <s v="Phones"/>
        <s v="Tables"/>
        <s v="Bookcases"/>
        <s v="Accessories"/>
        <s v="Machines"/>
      </sharedItems>
    </cacheField>
    <cacheField name="Product Name" numFmtId="0">
      <sharedItems count="29">
        <s v="Xerox 1967"/>
        <s v="Poly String Tie Envelopes"/>
        <s v="Staples Drawing Pad"/>
        <s v="Office Star Mesh Chair"/>
        <s v="Canon Color Copier"/>
        <s v="Beverage Center"/>
        <s v="Desk Organizer"/>
        <s v="Avery Durable Binder"/>
        <s v="Sterilite Storage Box"/>
        <s v="Cisco SPA 501G IP Phone"/>
        <s v="Bretford Conference Table"/>
        <s v="Bush Somerset Collection Bookcase"/>
        <s v="Imation Flash Drive"/>
        <s v="Fellowes File Cart"/>
        <s v="Sharp Digital Copier"/>
        <s v="Canon ImageCLASS Printer"/>
        <s v="Logitech Wireless Mouse"/>
        <s v="Sauder Classic Bookcase"/>
        <s v="Eldon Fold'N Roll Cart"/>
        <s v="HP LaserJet Printer"/>
        <s v="Holmes Replacement Filter"/>
        <s v="Hon Deluxe Fabric Chair"/>
        <s v="Executive Leather Chair"/>
        <s v="Hammermill Copy Paper"/>
        <s v="Global Deluxe Table"/>
        <s v="Wilson Jones Hanging Binder"/>
        <s v="Newell 322"/>
        <s v="Coin Envelopes"/>
        <s v="Mitel 5320 IP Phone"/>
      </sharedItems>
    </cacheField>
    <cacheField name="Sales" numFmtId="2">
      <sharedItems containsSemiMixedTypes="0" containsString="0" containsNumber="1" minValue="10.06" maxValue="7306.64" count="600">
        <n v="2456.16"/>
        <n v="2486.84"/>
        <n v="2003.08"/>
        <n v="2326.87"/>
        <n v="2493.62"/>
        <n v="556.25"/>
        <n v="5407.63"/>
        <n v="1653.91"/>
        <n v="4169.9799999999996"/>
        <n v="587.5"/>
        <n v="2000.84"/>
        <n v="2300.39"/>
        <n v="2759.19"/>
        <n v="563.11"/>
        <n v="860.66"/>
        <n v="433.6"/>
        <n v="684.64"/>
        <n v="2331.52"/>
        <n v="4387.1400000000003"/>
        <n v="1752.67"/>
        <n v="5108.5600000000004"/>
        <n v="661.69"/>
        <n v="348.7"/>
        <n v="351.45"/>
        <n v="1207.58"/>
        <n v="4637.3599999999997"/>
        <n v="316.69"/>
        <n v="2138.17"/>
        <n v="495.94"/>
        <n v="4247.76"/>
        <n v="705.38"/>
        <n v="2313.39"/>
        <n v="3660.96"/>
        <n v="1253.06"/>
        <n v="194.1"/>
        <n v="3014.68"/>
        <n v="10.06"/>
        <n v="3800.2"/>
        <n v="4183.4799999999996"/>
        <n v="1584.7"/>
        <n v="2361.35"/>
        <n v="4402.38"/>
        <n v="2721.33"/>
        <n v="2210.46"/>
        <n v="2542.1"/>
        <n v="3834.62"/>
        <n v="659.92"/>
        <n v="127.65"/>
        <n v="1573.92"/>
        <n v="5625.98"/>
        <n v="4390.26"/>
        <n v="127.29"/>
        <n v="3882.55"/>
        <n v="1252.46"/>
        <n v="1378.36"/>
        <n v="169.54"/>
        <n v="5672.14"/>
        <n v="550.71"/>
        <n v="1260.94"/>
        <n v="505.89"/>
        <n v="92.41"/>
        <n v="2631.38"/>
        <n v="737.7"/>
        <n v="2203.75"/>
        <n v="2642.35"/>
        <n v="532.97"/>
        <n v="908.85"/>
        <n v="1890.3"/>
        <n v="846.18"/>
        <n v="389.7"/>
        <n v="1344.41"/>
        <n v="2421.9899999999998"/>
        <n v="316.39999999999998"/>
        <n v="121.48"/>
        <n v="2383.8000000000002"/>
        <n v="4047.06"/>
        <n v="1119.56"/>
        <n v="39.29"/>
        <n v="225.44"/>
        <n v="5836.67"/>
        <n v="235.6"/>
        <n v="2767.89"/>
        <n v="1207.8900000000001"/>
        <n v="4356.29"/>
        <n v="462.44"/>
        <n v="1371.06"/>
        <n v="1245.44"/>
        <n v="961.93"/>
        <n v="2495"/>
        <n v="1707.27"/>
        <n v="1775.71"/>
        <n v="17.25"/>
        <n v="221.22"/>
        <n v="3924.86"/>
        <n v="856.32"/>
        <n v="4484.4799999999996"/>
        <n v="1052.93"/>
        <n v="1457.83"/>
        <n v="2100.2600000000002"/>
        <n v="872.05"/>
        <n v="174.05"/>
        <n v="1458.92"/>
        <n v="2329.06"/>
        <n v="3934.98"/>
        <n v="1065.0999999999999"/>
        <n v="414.76"/>
        <n v="166.48"/>
        <n v="4701.93"/>
        <n v="66.8"/>
        <n v="250.86"/>
        <n v="3367.49"/>
        <n v="3225.96"/>
        <n v="4523.22"/>
        <n v="1093.01"/>
        <n v="431.38"/>
        <n v="5178.92"/>
        <n v="99.2"/>
        <n v="1084.26"/>
        <n v="1482.59"/>
        <n v="2005.66"/>
        <n v="603.19000000000005"/>
        <n v="1939"/>
        <n v="699.23"/>
        <n v="1042.2"/>
        <n v="1204.51"/>
        <n v="3476.37"/>
        <n v="2013.36"/>
        <n v="2268.36"/>
        <n v="2449.86"/>
        <n v="389.05"/>
        <n v="2383.6"/>
        <n v="234.57"/>
        <n v="45.11"/>
        <n v="4907.68"/>
        <n v="4676.6899999999996"/>
        <n v="3044.16"/>
        <n v="3778.9"/>
        <n v="1651.09"/>
        <n v="5190.21"/>
        <n v="6396.69"/>
        <n v="290.52999999999997"/>
        <n v="4782.83"/>
        <n v="501.84"/>
        <n v="453.35"/>
        <n v="1226.79"/>
        <n v="1450.45"/>
        <n v="473.62"/>
        <n v="433.1"/>
        <n v="795.86"/>
        <n v="1531.66"/>
        <n v="1482.19"/>
        <n v="2478.71"/>
        <n v="5521.97"/>
        <n v="2835.5"/>
        <n v="592.22"/>
        <n v="878.35"/>
        <n v="128.41999999999999"/>
        <n v="3626.24"/>
        <n v="2584.71"/>
        <n v="3327.22"/>
        <n v="5530.9"/>
        <n v="1522.15"/>
        <n v="108.48"/>
        <n v="2525.44"/>
        <n v="736.01"/>
        <n v="1288.1500000000001"/>
        <n v="2992.16"/>
        <n v="321.08"/>
        <n v="1371.33"/>
        <n v="113.65"/>
        <n v="356.13"/>
        <n v="153.91"/>
        <n v="2184.23"/>
        <n v="5731.52"/>
        <n v="1203.73"/>
        <n v="4083.55"/>
        <n v="4072.88"/>
        <n v="2080.83"/>
        <n v="1894.07"/>
        <n v="406.87"/>
        <n v="525.45000000000005"/>
        <n v="4645.62"/>
        <n v="4086.14"/>
        <n v="267.62"/>
        <n v="465.72"/>
        <n v="1067.3699999999999"/>
        <n v="3059.4"/>
        <n v="1216.48"/>
        <n v="672.97"/>
        <n v="286.99"/>
        <n v="1094.03"/>
        <n v="4089.02"/>
        <n v="184.69"/>
        <n v="2625.07"/>
        <n v="119.66"/>
        <n v="3649.62"/>
        <n v="5615.13"/>
        <n v="3853.05"/>
        <n v="381.2"/>
        <n v="1743.62"/>
        <n v="268.02999999999997"/>
        <n v="4501.55"/>
        <n v="6361.06"/>
        <n v="1989.99"/>
        <n v="1027.3"/>
        <n v="1578.99"/>
        <n v="475.08"/>
        <n v="692.43"/>
        <n v="1652.56"/>
        <n v="631.1"/>
        <n v="1321.54"/>
        <n v="2245.52"/>
        <n v="190.05"/>
        <n v="1593.41"/>
        <n v="1382.49"/>
        <n v="3145.72"/>
        <n v="4263.1899999999996"/>
        <n v="541.98"/>
        <n v="5201.97"/>
        <n v="2069.7800000000002"/>
        <n v="1497.61"/>
        <n v="182.84"/>
        <n v="265.81"/>
        <n v="2494.7199999999998"/>
        <n v="264.98"/>
        <n v="3610.63"/>
        <n v="361.13"/>
        <n v="3624.12"/>
        <n v="3933.58"/>
        <n v="1610.23"/>
        <n v="113.86"/>
        <n v="305.42"/>
        <n v="63.3"/>
        <n v="2286.2800000000002"/>
        <n v="3268.69"/>
        <n v="2902.42"/>
        <n v="1683.46"/>
        <n v="1879.95"/>
        <n v="3181.96"/>
        <n v="4973.26"/>
        <n v="582.75"/>
        <n v="1758.91"/>
        <n v="235.68"/>
        <n v="4745.78"/>
        <n v="4189.5200000000004"/>
        <n v="167.05"/>
        <n v="847.97"/>
        <n v="866.66"/>
        <n v="4111.75"/>
        <n v="647.16"/>
        <n v="77.36"/>
        <n v="490.74"/>
        <n v="3500.44"/>
        <n v="5337.86"/>
        <n v="2619.7800000000002"/>
        <n v="5058.42"/>
        <n v="1032.5"/>
        <n v="606.80999999999995"/>
        <n v="862.23"/>
        <n v="1379.19"/>
        <n v="535.26"/>
        <n v="117.58"/>
        <n v="690.3"/>
        <n v="3022.03"/>
        <n v="237.61"/>
        <n v="890.15"/>
        <n v="2795.22"/>
        <n v="4752.09"/>
        <n v="1048.94"/>
        <n v="3149.99"/>
        <n v="1644.92"/>
        <n v="2506.98"/>
        <n v="3270.17"/>
        <n v="2357.6799999999998"/>
        <n v="3192.84"/>
        <n v="840.56"/>
        <n v="231.46"/>
        <n v="1476.22"/>
        <n v="3605.26"/>
        <n v="5731.64"/>
        <n v="2298.16"/>
        <n v="2554.7399999999998"/>
        <n v="2514.9699999999998"/>
        <n v="3601.21"/>
        <n v="1640.24"/>
        <n v="2268.94"/>
        <n v="518.17999999999995"/>
        <n v="930.2"/>
        <n v="2839.54"/>
        <n v="693.14"/>
        <n v="369.56"/>
        <n v="6681.38"/>
        <n v="677.55"/>
        <n v="4473.25"/>
        <n v="172.26"/>
        <n v="3552.96"/>
        <n v="4842.24"/>
        <n v="788.8"/>
        <n v="273.22000000000003"/>
        <n v="1508.61"/>
        <n v="2105.9499999999998"/>
        <n v="4132.8900000000003"/>
        <n v="2780.64"/>
        <n v="2119.6799999999998"/>
        <n v="6628.9"/>
        <n v="1186.06"/>
        <n v="1180.22"/>
        <n v="3317.98"/>
        <n v="101.2"/>
        <n v="803.98"/>
        <n v="201.66"/>
        <n v="525"/>
        <n v="1811.3"/>
        <n v="5594.69"/>
        <n v="656.33"/>
        <n v="294.14"/>
        <n v="154.24"/>
        <n v="1935.78"/>
        <n v="2480.69"/>
        <n v="656.86"/>
        <n v="734.27"/>
        <n v="2680.83"/>
        <n v="3271.34"/>
        <n v="450.94"/>
        <n v="225.62"/>
        <n v="5529.96"/>
        <n v="3087.47"/>
        <n v="886.52"/>
        <n v="5279.98"/>
        <n v="184.87"/>
        <n v="710.17"/>
        <n v="2650.13"/>
        <n v="1480.67"/>
        <n v="566.58000000000004"/>
        <n v="3742.06"/>
        <n v="2373.94"/>
        <n v="656.47"/>
        <n v="3048.41"/>
        <n v="3127.68"/>
        <n v="5423.29"/>
        <n v="226.58"/>
        <n v="659.27"/>
        <n v="1077.8699999999999"/>
        <n v="1024.83"/>
        <n v="4474.84"/>
        <n v="4750.8900000000003"/>
        <n v="2136.08"/>
        <n v="1397.29"/>
        <n v="510.57"/>
        <n v="1002.67"/>
        <n v="5049.34"/>
        <n v="229.29"/>
        <n v="3826.08"/>
        <n v="27.95"/>
        <n v="1525.62"/>
        <n v="3228.77"/>
        <n v="4736.45"/>
        <n v="98.47"/>
        <n v="546.88"/>
        <n v="1151.67"/>
        <n v="2264.88"/>
        <n v="1146.8900000000001"/>
        <n v="106.84"/>
        <n v="4124.95"/>
        <n v="1094.56"/>
        <n v="280.44"/>
        <n v="1481.38"/>
        <n v="14.4"/>
        <n v="5472.29"/>
        <n v="3718.76"/>
        <n v="1090.1500000000001"/>
        <n v="512.29"/>
        <n v="906.5"/>
        <n v="2901.71"/>
        <n v="2583.61"/>
        <n v="1202.0899999999999"/>
        <n v="255.7"/>
        <n v="2137.1799999999998"/>
        <n v="179.31"/>
        <n v="4056.65"/>
        <n v="3253.36"/>
        <n v="7306.64"/>
        <n v="315.08"/>
        <n v="2424.02"/>
        <n v="236.01"/>
        <n v="1367.48"/>
        <n v="5047.6899999999996"/>
        <n v="556.9"/>
        <n v="2845.12"/>
        <n v="207.26"/>
        <n v="852.6"/>
        <n v="1903.04"/>
        <n v="1987.81"/>
        <n v="729.58"/>
        <n v="2130.9"/>
        <n v="4436.5"/>
        <n v="2054.86"/>
        <n v="1448.75"/>
        <n v="1150.92"/>
        <n v="765.05"/>
        <n v="3639"/>
        <n v="2617.15"/>
        <n v="885.96"/>
        <n v="406.42"/>
        <n v="1595.51"/>
        <n v="4891.21"/>
        <n v="2994.04"/>
        <n v="269.08999999999997"/>
        <n v="2552.0100000000002"/>
        <n v="1631.02"/>
        <n v="2577.34"/>
        <n v="4582.1400000000003"/>
        <n v="2006.21"/>
        <n v="1846.53"/>
        <n v="4461.91"/>
        <n v="2387.14"/>
        <n v="2070.92"/>
        <n v="2998.43"/>
        <n v="89.84"/>
        <n v="302.08999999999997"/>
        <n v="1178.28"/>
        <n v="2901.58"/>
        <n v="2312.6999999999998"/>
        <n v="2467.71"/>
        <n v="1566.41"/>
        <n v="368.94"/>
        <n v="1272.71"/>
        <n v="766.1"/>
        <n v="147.36000000000001"/>
        <n v="5382.97"/>
        <n v="5228.95"/>
        <n v="1856.09"/>
        <n v="3285.72"/>
        <n v="1118.49"/>
        <n v="1730.8"/>
        <n v="963.12"/>
        <n v="746.03"/>
        <n v="3996.5"/>
        <n v="1271.72"/>
        <n v="2955.28"/>
        <n v="1636.94"/>
        <n v="393.78"/>
        <n v="465.48"/>
        <n v="189.75"/>
        <n v="683.86"/>
        <n v="1259.78"/>
        <n v="590.54"/>
        <n v="1188.1199999999999"/>
        <n v="416.7"/>
        <n v="1289"/>
        <n v="669.88"/>
        <n v="1451.38"/>
        <n v="853.34"/>
        <n v="44.22"/>
        <n v="1773.2"/>
        <n v="3841"/>
        <n v="961.11"/>
        <n v="296.42"/>
        <n v="3340.34"/>
        <n v="2149.31"/>
        <n v="3744.78"/>
        <n v="1280.45"/>
        <n v="3107.46"/>
        <n v="992.7"/>
        <n v="438.62"/>
        <n v="6821.23"/>
        <n v="6079.92"/>
        <n v="449.52"/>
        <n v="92.29"/>
        <n v="2906.81"/>
        <n v="137.04"/>
        <n v="4095.66"/>
        <n v="952.68"/>
        <n v="744.69"/>
        <n v="640.55999999999995"/>
        <n v="1867.59"/>
        <n v="994.62"/>
        <n v="589.03"/>
        <n v="2417.4699999999998"/>
        <n v="1449.72"/>
        <n v="645.63"/>
        <n v="806.49"/>
        <n v="2420.5"/>
        <n v="3958.03"/>
        <n v="3293"/>
        <n v="1011.02"/>
        <n v="276.36"/>
        <n v="5769.22"/>
        <n v="3172.68"/>
        <n v="2415.7199999999998"/>
        <n v="1334.86"/>
        <n v="2034.99"/>
        <n v="3681.57"/>
        <n v="974.92"/>
        <n v="113.58"/>
        <n v="3250.46"/>
        <n v="4549.13"/>
        <n v="2200.94"/>
        <n v="2558.25"/>
        <n v="1264.75"/>
        <n v="986.12"/>
        <n v="3882.03"/>
        <n v="5179.3999999999996"/>
        <n v="1654.79"/>
        <n v="197.64"/>
        <n v="3794.26"/>
        <n v="522.64"/>
        <n v="1829.28"/>
        <n v="864.3"/>
        <n v="1206.52"/>
        <n v="4461.33"/>
        <n v="3494.72"/>
        <n v="1538.36"/>
        <n v="299.3"/>
        <n v="183.12"/>
        <n v="2549.38"/>
        <n v="923.13"/>
        <n v="1538.13"/>
        <n v="3480.5"/>
        <n v="3511.8"/>
        <n v="3447.58"/>
        <n v="358.44"/>
        <n v="333.24"/>
        <n v="2079.2600000000002"/>
        <n v="1423.38"/>
        <n v="385.64"/>
        <n v="619.22"/>
        <n v="833.91"/>
        <n v="2518.61"/>
        <n v="3338.38"/>
        <n v="53.32"/>
        <n v="484.7"/>
        <n v="1302.54"/>
        <n v="1587.74"/>
        <n v="562.76"/>
        <n v="1355.75"/>
        <n v="1947.53"/>
        <n v="1614.33"/>
        <n v="518.72"/>
        <n v="1081.92"/>
        <n v="5036.6400000000003"/>
        <n v="3622.34"/>
        <n v="3229.48"/>
        <n v="602.04"/>
        <n v="4118.33"/>
        <n v="5063.91"/>
        <n v="5618.43"/>
        <n v="538.67999999999995"/>
        <n v="911.65"/>
        <n v="4440.54"/>
        <n v="4948.8599999999997"/>
        <n v="3292.55"/>
        <n v="726.89"/>
        <n v="2541.31"/>
        <n v="1467.65"/>
        <n v="700.65"/>
        <n v="286.31"/>
        <n v="315.42"/>
        <n v="179.83"/>
        <n v="6070.69"/>
        <n v="68.760000000000005"/>
        <n v="3572.74"/>
        <n v="3576.22"/>
        <n v="2224.56"/>
        <n v="64.67"/>
        <n v="527.80999999999995"/>
        <n v="3891.05"/>
        <n v="660.68"/>
        <n v="5465.41"/>
        <n v="2473.35"/>
        <n v="300.66000000000003"/>
        <n v="1790.65"/>
        <n v="767.72"/>
        <n v="4075.97"/>
        <n v="2263.73"/>
        <n v="1715.2"/>
        <n v="3679.73"/>
        <n v="3123.1"/>
        <n v="1361.22"/>
        <n v="2017.87"/>
        <n v="1558.98"/>
        <n v="401.53"/>
        <n v="1002.76"/>
        <n v="256.92"/>
        <n v="975.18"/>
        <n v="2276.81"/>
        <n v="1903.38"/>
        <n v="989.61"/>
        <n v="5476.2"/>
        <n v="3444.9"/>
        <n v="932.53"/>
        <n v="4540.7299999999996"/>
        <n v="1236.05"/>
        <n v="718.27"/>
        <n v="1967.3"/>
        <n v="254.47"/>
        <n v="1841.4"/>
        <n v="6104.44"/>
        <n v="2688.15"/>
        <n v="396.65"/>
      </sharedItems>
    </cacheField>
    <cacheField name="Quantity" numFmtId="1">
      <sharedItems containsSemiMixedTypes="0" containsString="0" containsNumber="1" containsInteger="1" minValue="1" maxValue="8" count="8">
        <n v="4"/>
        <n v="7"/>
        <n v="3"/>
        <n v="8"/>
        <n v="2"/>
        <n v="5"/>
        <n v="6"/>
        <n v="1"/>
      </sharedItems>
    </cacheField>
    <cacheField name="Profit" numFmtId="2">
      <sharedItems containsSemiMixedTypes="0" containsString="0" containsNumber="1" minValue="3.19" maxValue="3547.5" count="600">
        <n v="444.95"/>
        <n v="1140.3900000000001"/>
        <n v="713.63"/>
        <n v="924.39"/>
        <n v="1296.44"/>
        <n v="200.43"/>
        <n v="1597.86"/>
        <n v="691.74"/>
        <n v="882.82"/>
        <n v="197.29"/>
        <n v="923.69"/>
        <n v="856.85"/>
        <n v="1017.87"/>
        <n v="145.1"/>
        <n v="263.54000000000002"/>
        <n v="173.5"/>
        <n v="211.95"/>
        <n v="510.7"/>
        <n v="1873.5"/>
        <n v="578.84"/>
        <n v="1995.26"/>
        <n v="187.43"/>
        <n v="121"/>
        <n v="82.76"/>
        <n v="467.87"/>
        <n v="868.25"/>
        <n v="77.489999999999995"/>
        <n v="486.26"/>
        <n v="231.06"/>
        <n v="892.41"/>
        <n v="324.69"/>
        <n v="748.94"/>
        <n v="1454.61"/>
        <n v="308.70999999999998"/>
        <n v="64.760000000000005"/>
        <n v="1531.51"/>
        <n v="3.19"/>
        <n v="1639.07"/>
        <n v="813.1"/>
        <n v="358.94"/>
        <n v="512.70000000000005"/>
        <n v="1814.9"/>
        <n v="1277.21"/>
        <n v="1186.3599999999999"/>
        <n v="1200.72"/>
        <n v="1563.93"/>
        <n v="332.97"/>
        <n v="25.35"/>
        <n v="486.16"/>
        <n v="1645.94"/>
        <n v="1868.24"/>
        <n v="46.39"/>
        <n v="993.08"/>
        <n v="487"/>
        <n v="634.6"/>
        <n v="90.23"/>
        <n v="1205.98"/>
        <n v="155.11000000000001"/>
        <n v="312.89"/>
        <n v="275.76"/>
        <n v="45.92"/>
        <n v="1369.26"/>
        <n v="224.9"/>
        <n v="546.22"/>
        <n v="1190.31"/>
        <n v="203.91"/>
        <n v="489.38"/>
        <n v="666.46"/>
        <n v="427.19"/>
        <n v="99.07"/>
        <n v="447.56"/>
        <n v="500.19"/>
        <n v="118.5"/>
        <n v="22.3"/>
        <n v="628.55999999999995"/>
        <n v="1385.47"/>
        <n v="349.16"/>
        <n v="18.940000000000001"/>
        <n v="99.54"/>
        <n v="1936.12"/>
        <n v="51.25"/>
        <n v="1336.74"/>
        <n v="502.38"/>
        <n v="1133.22"/>
        <n v="170.94"/>
        <n v="418.44"/>
        <n v="434.08"/>
        <n v="259.19"/>
        <n v="1201.04"/>
        <n v="760.84"/>
        <n v="832.03"/>
        <n v="8.9"/>
        <n v="118.45"/>
        <n v="972.12"/>
        <n v="343.03"/>
        <n v="827.7"/>
        <n v="445.67"/>
        <n v="670.2"/>
        <n v="432.75"/>
        <n v="265"/>
        <n v="94.54"/>
        <n v="395.1"/>
        <n v="596.73"/>
        <n v="1901.33"/>
        <n v="207.17"/>
        <n v="171.5"/>
        <n v="80.2"/>
        <n v="1192.6400000000001"/>
        <n v="32.97"/>
        <n v="107.14"/>
        <n v="1465.95"/>
        <n v="1193.76"/>
        <n v="2241.63"/>
        <n v="254.02"/>
        <n v="227.11"/>
        <n v="1464.04"/>
        <n v="52.98"/>
        <n v="552.57000000000005"/>
        <n v="382.06"/>
        <n v="931.77"/>
        <n v="274.24"/>
        <n v="415.33"/>
        <n v="168.04"/>
        <n v="237.35"/>
        <n v="364.49"/>
        <n v="1491.35"/>
        <n v="498.4"/>
        <n v="1233.68"/>
        <n v="1328.76"/>
        <n v="121.56"/>
        <n v="651.64"/>
        <n v="106.39"/>
        <n v="14.91"/>
        <n v="2265.9699999999998"/>
        <n v="907.26"/>
        <n v="899.61"/>
        <n v="1982.03"/>
        <n v="576.55999999999995"/>
        <n v="985.15"/>
        <n v="2713.77"/>
        <n v="141.15"/>
        <n v="1125.33"/>
        <n v="95.2"/>
        <n v="207.82"/>
        <n v="591.47"/>
        <n v="474.71"/>
        <n v="130.11000000000001"/>
        <n v="213.47"/>
        <n v="303.88"/>
        <n v="503.81"/>
        <n v="444.06"/>
        <n v="1179.73"/>
        <n v="1271.3800000000001"/>
        <n v="1361.01"/>
        <n v="302.37"/>
        <n v="218.08"/>
        <n v="23.95"/>
        <n v="1146.69"/>
        <n v="901.77"/>
        <n v="1277.49"/>
        <n v="2521.87"/>
        <n v="495.02"/>
        <n v="45.35"/>
        <n v="726.58"/>
        <n v="279.74"/>
        <n v="402.05"/>
        <n v="985.32"/>
        <n v="117.42"/>
        <n v="450.95"/>
        <n v="30.03"/>
        <n v="97.81"/>
        <n v="32.03"/>
        <n v="639.27"/>
        <n v="1438"/>
        <n v="568.91"/>
        <n v="1709.42"/>
        <n v="1335.13"/>
        <n v="917.75"/>
        <n v="675.4"/>
        <n v="172.31"/>
        <n v="178.47"/>
        <n v="1221.24"/>
        <n v="1114.05"/>
        <n v="136.24"/>
        <n v="230.01"/>
        <n v="479.14"/>
        <n v="1677.08"/>
        <n v="631.48"/>
        <n v="359.14"/>
        <n v="98.79"/>
        <n v="405.14"/>
        <n v="2211.7600000000002"/>
        <n v="90.89"/>
        <n v="551.72"/>
        <n v="22.42"/>
        <n v="787.43"/>
        <n v="1462.84"/>
        <n v="859.64"/>
        <n v="81.260000000000005"/>
        <n v="811"/>
        <n v="138.33000000000001"/>
        <n v="1490.02"/>
        <n v="2948.77"/>
        <n v="547.04999999999995"/>
        <n v="386.92"/>
        <n v="824.12"/>
        <n v="255.74"/>
        <n v="172.34"/>
        <n v="596.61"/>
        <n v="310.67"/>
        <n v="286.95"/>
        <n v="590.69000000000005"/>
        <n v="103.45"/>
        <n v="325.91000000000003"/>
        <n v="277.27999999999997"/>
        <n v="1085.51"/>
        <n v="1175.19"/>
        <n v="105.09"/>
        <n v="1857.85"/>
        <n v="560.47"/>
        <n v="485.49"/>
        <n v="66.25"/>
        <n v="57.68"/>
        <n v="1206.24"/>
        <n v="53.53"/>
        <n v="1763.79"/>
        <n v="187.55"/>
        <n v="1460.53"/>
        <n v="1990.54"/>
        <n v="582.48"/>
        <n v="30.28"/>
        <n v="67.41"/>
        <n v="20.86"/>
        <n v="420.68"/>
        <n v="1078.1199999999999"/>
        <n v="731.8"/>
        <n v="597.91"/>
        <n v="624.67999999999995"/>
        <n v="939.49"/>
        <n v="1681.97"/>
        <n v="187.91"/>
        <n v="324.63"/>
        <n v="129.01"/>
        <n v="986.56"/>
        <n v="1089.48"/>
        <n v="55.95"/>
        <n v="444.41"/>
        <n v="262.16000000000003"/>
        <n v="924.76"/>
        <n v="152.21"/>
        <n v="18.059999999999999"/>
        <n v="171.56"/>
        <n v="686.53"/>
        <n v="2380.92"/>
        <n v="1056.4000000000001"/>
        <n v="1929.32"/>
        <n v="465.96"/>
        <n v="314.23"/>
        <n v="401.51"/>
        <n v="742.32"/>
        <n v="186.7"/>
        <n v="22.49"/>
        <n v="186.79"/>
        <n v="1038.48"/>
        <n v="57.14"/>
        <n v="299.87"/>
        <n v="1176.77"/>
        <n v="1745.25"/>
        <n v="354.81"/>
        <n v="1123.5999999999999"/>
        <n v="886.21"/>
        <n v="1210.81"/>
        <n v="926.44"/>
        <n v="872.12"/>
        <n v="1386.47"/>
        <n v="456.64"/>
        <n v="120.24"/>
        <n v="684.68"/>
        <n v="1561.1"/>
        <n v="2001.18"/>
        <n v="569.76"/>
        <n v="1354.55"/>
        <n v="1109.24"/>
        <n v="978.17"/>
        <n v="702.43"/>
        <n v="946.98"/>
        <n v="129.82"/>
        <n v="453.47"/>
        <n v="656.06"/>
        <n v="334.58"/>
        <n v="165.69"/>
        <n v="3547.5"/>
        <n v="353.35"/>
        <n v="1603.42"/>
        <n v="59.16"/>
        <n v="1698.36"/>
        <n v="2024.88"/>
        <n v="232.19"/>
        <n v="133.44999999999999"/>
        <n v="794.94"/>
        <n v="1118"/>
        <n v="1063.94"/>
        <n v="547.16"/>
        <n v="1161.7"/>
        <n v="2057.6"/>
        <n v="586.95000000000005"/>
        <n v="575.91999999999996"/>
        <n v="672.67"/>
        <n v="32.51"/>
        <n v="241.86"/>
        <n v="110.57"/>
        <n v="236.68"/>
        <n v="984.71"/>
        <n v="1915.92"/>
        <n v="172.58"/>
        <n v="54.77"/>
        <n v="65.75"/>
        <n v="553.83000000000004"/>
        <n v="1256.93"/>
        <n v="163.72999999999999"/>
        <n v="245.68"/>
        <n v="1469.44"/>
        <n v="1070.05"/>
        <n v="100.56"/>
        <n v="54.06"/>
        <n v="1546.14"/>
        <n v="1329.86"/>
        <n v="168.4"/>
        <n v="1018.28"/>
        <n v="74.5"/>
        <n v="328.59"/>
        <n v="787.61"/>
        <n v="440.03"/>
        <n v="149.61000000000001"/>
        <n v="1801.26"/>
        <n v="1252.73"/>
        <n v="122.5"/>
        <n v="759.65"/>
        <n v="867.3"/>
        <n v="2433.0700000000002"/>
        <n v="81"/>
        <n v="118.81"/>
        <n v="256.98"/>
        <n v="549.73"/>
        <n v="1412.71"/>
        <n v="1636.64"/>
        <n v="1047.74"/>
        <n v="408.3"/>
        <n v="121.34"/>
        <n v="465.74"/>
        <n v="938.12"/>
        <n v="61.82"/>
        <n v="1048.5"/>
        <n v="9.9"/>
        <n v="444.23"/>
        <n v="1669.01"/>
        <n v="1369.4"/>
        <n v="25.75"/>
        <n v="240.62"/>
        <n v="324.87"/>
        <n v="1013.7"/>
        <n v="586.29"/>
        <n v="24.51"/>
        <n v="1758.95"/>
        <n v="262.75"/>
        <n v="77.38"/>
        <n v="574.35"/>
        <n v="3.83"/>
        <n v="2935.2"/>
        <n v="1675.64"/>
        <n v="352.95"/>
        <n v="112.96"/>
        <n v="279.85000000000002"/>
        <n v="1568.41"/>
        <n v="1017.81"/>
        <n v="455"/>
        <n v="80.55"/>
        <n v="1068.7"/>
        <n v="78.92"/>
        <n v="2063.17"/>
        <n v="1751.67"/>
        <n v="2512"/>
        <n v="88.61"/>
        <n v="1297.95"/>
        <n v="79.95"/>
        <n v="271.8"/>
        <n v="2613.77"/>
        <n v="269.51"/>
        <n v="1123.1099999999999"/>
        <n v="90.74"/>
        <n v="300.33"/>
        <n v="821.32"/>
        <n v="699.78"/>
        <n v="178.32"/>
        <n v="800.22"/>
        <n v="1554.68"/>
        <n v="1036.68"/>
        <n v="458.27"/>
        <n v="585.65"/>
        <n v="251.83"/>
        <n v="923.27"/>
        <n v="1367.1"/>
        <n v="463.53"/>
        <n v="122.52"/>
        <n v="378.77"/>
        <n v="2133.17"/>
        <n v="880.99"/>
        <n v="86.69"/>
        <n v="945.86"/>
        <n v="741.28"/>
        <n v="867.12"/>
        <n v="981.07"/>
        <n v="802.63"/>
        <n v="774.71"/>
        <n v="2071.58"/>
        <n v="701.34"/>
        <n v="550.11"/>
        <n v="1613.28"/>
        <n v="44.33"/>
        <n v="108.01"/>
        <n v="645.84"/>
        <n v="1393.91"/>
        <n v="1153.19"/>
        <n v="869.35"/>
        <n v="336.14"/>
        <n v="126.52"/>
        <n v="330.25"/>
        <n v="342.01"/>
        <n v="42.28"/>
        <n v="2170.08"/>
        <n v="1531.33"/>
        <n v="711.44"/>
        <n v="1386.09"/>
        <n v="319.95999999999998"/>
        <n v="893.48"/>
        <n v="403.08"/>
        <n v="350.02"/>
        <n v="742.91"/>
        <n v="540.91999999999996"/>
        <n v="824.75"/>
        <n v="418.93"/>
        <n v="125.12"/>
        <n v="97.41"/>
        <n v="75.489999999999995"/>
        <n v="361.86"/>
        <n v="357.72"/>
        <n v="285.45999999999998"/>
        <n v="444.49"/>
        <n v="201.74"/>
        <n v="654.83000000000004"/>
        <n v="125.08"/>
        <n v="268.08"/>
        <n v="229.05"/>
        <n v="15.23"/>
        <n v="898.3"/>
        <n v="989.58"/>
        <n v="275.32"/>
        <n v="134.87"/>
        <n v="1725.54"/>
        <n v="416.12"/>
        <n v="1520.23"/>
        <n v="298.55"/>
        <n v="824.37"/>
        <n v="227.12"/>
        <n v="213.9"/>
        <n v="2612.44"/>
        <n v="3184.37"/>
        <n v="100.79"/>
        <n v="38.06"/>
        <n v="990.53"/>
        <n v="48.96"/>
        <n v="772.49"/>
        <n v="231.1"/>
        <n v="348.81"/>
        <n v="224.48"/>
        <n v="504.03"/>
        <n v="196.86"/>
        <n v="287.29000000000002"/>
        <n v="457.77"/>
        <n v="575.01"/>
        <n v="156.68"/>
        <n v="270.33"/>
        <n v="964.68"/>
        <n v="2053.7399999999998"/>
        <n v="1251.07"/>
        <n v="376.11"/>
        <n v="117.58"/>
        <n v="1508.59"/>
        <n v="735.28"/>
        <n v="654.98"/>
        <n v="431.44"/>
        <n v="521.19000000000005"/>
        <n v="1148.5899999999999"/>
        <n v="502.34"/>
        <n v="46.32"/>
        <n v="1147.21"/>
        <n v="1437.74"/>
        <n v="450.78"/>
        <n v="1358.16"/>
        <n v="686.22"/>
        <n v="305.08999999999997"/>
        <n v="1576.84"/>
        <n v="1375.13"/>
        <n v="369.06"/>
        <n v="63.96"/>
        <n v="1763.01"/>
        <n v="206.29"/>
        <n v="854.31"/>
        <n v="307.45999999999998"/>
        <n v="570.76"/>
        <n v="2441.25"/>
        <n v="1246.81"/>
        <n v="402.94"/>
        <n v="142.37"/>
        <n v="65.89"/>
        <n v="1063.3"/>
        <n v="338.6"/>
        <n v="291.44"/>
        <n v="1388.88"/>
        <n v="1058.1400000000001"/>
        <n v="640.46"/>
        <n v="70.95"/>
        <n v="126.32"/>
        <n v="742.21"/>
        <n v="691.56"/>
        <n v="130.79"/>
        <n v="216.89"/>
        <n v="374.43"/>
        <n v="799.3"/>
        <n v="1053.73"/>
        <n v="29.22"/>
        <n v="149.76"/>
        <n v="255.83"/>
        <n v="791.22"/>
        <n v="205.75"/>
        <n v="553.47"/>
        <n v="951.32"/>
        <n v="868.45"/>
        <n v="108.88"/>
        <n v="341.12"/>
        <n v="2138.35"/>
        <n v="1510.93"/>
        <n v="617.65"/>
        <n v="120.68"/>
        <n v="787.29"/>
        <n v="2044.78"/>
        <n v="2770.71"/>
        <n v="209.84"/>
        <n v="313.58999999999997"/>
        <n v="2223.4699999999998"/>
        <n v="1265.68"/>
        <n v="1585.37"/>
        <n v="173.46"/>
        <n v="934.84"/>
        <n v="294.45"/>
        <n v="362.23"/>
        <n v="94.83"/>
        <n v="111.12"/>
        <n v="69.14"/>
        <n v="3209.59"/>
        <n v="15.78"/>
        <n v="1913.21"/>
        <n v="1931.81"/>
        <n v="1002.53"/>
        <n v="13.21"/>
        <n v="258.02"/>
        <n v="1642.38"/>
        <n v="138.02000000000001"/>
        <n v="2620.37"/>
        <n v="1139.01"/>
        <n v="123.83"/>
        <n v="501.46"/>
        <n v="210.84"/>
        <n v="882.41"/>
        <n v="553.96"/>
        <n v="844.26"/>
        <n v="1202.5999999999999"/>
        <n v="1185.25"/>
        <n v="417.72"/>
        <n v="1014.58"/>
        <n v="669.14"/>
        <n v="164.88"/>
        <n v="284.37"/>
        <n v="58.76"/>
        <n v="262.08999999999997"/>
        <n v="921.81"/>
        <n v="643.12"/>
        <n v="295.25"/>
        <n v="2950.11"/>
        <n v="1134.68"/>
        <n v="327.62"/>
        <n v="2486.67"/>
        <n v="463.29"/>
        <n v="139.22"/>
        <n v="1005.64"/>
        <n v="69.38"/>
        <n v="366.48"/>
        <n v="1256.8699999999999"/>
        <n v="1249.1500000000001"/>
        <n v="199.26"/>
      </sharedItems>
    </cacheField>
    <cacheField name="Order Status" numFmtId="0">
      <sharedItems count="3">
        <s v="Delivered"/>
        <s v="Returned"/>
        <s v="Cancelled"/>
      </sharedItems>
    </cacheField>
    <cacheField name="Year" numFmtId="0">
      <sharedItems containsSemiMixedTypes="0" containsString="0" containsNumber="1" containsInteger="1" minValue="2023" maxValue="2025" count="3">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637151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10332"/>
    <d v="2023-01-05T00:00:00"/>
    <x v="0"/>
    <x v="0"/>
    <x v="0"/>
    <x v="0"/>
    <x v="0"/>
    <x v="0"/>
    <x v="0"/>
    <x v="0"/>
    <x v="0"/>
    <x v="0"/>
    <x v="0"/>
    <x v="0"/>
  </r>
  <r>
    <s v="ORD-10516"/>
    <d v="2023-01-07T00:00:00"/>
    <x v="1"/>
    <x v="1"/>
    <x v="1"/>
    <x v="0"/>
    <x v="1"/>
    <x v="1"/>
    <x v="1"/>
    <x v="0"/>
    <x v="1"/>
    <x v="1"/>
    <x v="0"/>
    <x v="0"/>
  </r>
  <r>
    <s v="ORD-10225"/>
    <d v="2023-01-10T00:00:00"/>
    <x v="2"/>
    <x v="2"/>
    <x v="2"/>
    <x v="0"/>
    <x v="2"/>
    <x v="2"/>
    <x v="2"/>
    <x v="1"/>
    <x v="2"/>
    <x v="0"/>
    <x v="0"/>
    <x v="0"/>
  </r>
  <r>
    <s v="ORD-10385"/>
    <d v="2023-01-10T00:00:00"/>
    <x v="3"/>
    <x v="0"/>
    <x v="3"/>
    <x v="1"/>
    <x v="3"/>
    <x v="3"/>
    <x v="3"/>
    <x v="1"/>
    <x v="3"/>
    <x v="0"/>
    <x v="0"/>
    <x v="0"/>
  </r>
  <r>
    <s v="ORD-10172"/>
    <d v="2023-01-11T00:00:00"/>
    <x v="3"/>
    <x v="3"/>
    <x v="4"/>
    <x v="2"/>
    <x v="4"/>
    <x v="4"/>
    <x v="4"/>
    <x v="2"/>
    <x v="4"/>
    <x v="2"/>
    <x v="0"/>
    <x v="0"/>
  </r>
  <r>
    <s v="ORD-10536"/>
    <d v="2023-01-11T00:00:00"/>
    <x v="4"/>
    <x v="4"/>
    <x v="5"/>
    <x v="0"/>
    <x v="5"/>
    <x v="5"/>
    <x v="5"/>
    <x v="2"/>
    <x v="5"/>
    <x v="1"/>
    <x v="0"/>
    <x v="0"/>
  </r>
  <r>
    <s v="ORD-10463"/>
    <d v="2023-01-12T00:00:00"/>
    <x v="1"/>
    <x v="2"/>
    <x v="6"/>
    <x v="1"/>
    <x v="6"/>
    <x v="6"/>
    <x v="6"/>
    <x v="3"/>
    <x v="6"/>
    <x v="2"/>
    <x v="0"/>
    <x v="0"/>
  </r>
  <r>
    <s v="ORD-10259"/>
    <d v="2023-01-14T00:00:00"/>
    <x v="5"/>
    <x v="0"/>
    <x v="0"/>
    <x v="0"/>
    <x v="7"/>
    <x v="7"/>
    <x v="7"/>
    <x v="2"/>
    <x v="7"/>
    <x v="1"/>
    <x v="0"/>
    <x v="0"/>
  </r>
  <r>
    <s v="ORD-10367"/>
    <d v="2023-01-14T00:00:00"/>
    <x v="6"/>
    <x v="5"/>
    <x v="7"/>
    <x v="0"/>
    <x v="8"/>
    <x v="8"/>
    <x v="8"/>
    <x v="3"/>
    <x v="8"/>
    <x v="2"/>
    <x v="0"/>
    <x v="0"/>
  </r>
  <r>
    <s v="ORD-10111"/>
    <d v="2023-01-16T00:00:00"/>
    <x v="7"/>
    <x v="4"/>
    <x v="5"/>
    <x v="0"/>
    <x v="8"/>
    <x v="8"/>
    <x v="9"/>
    <x v="4"/>
    <x v="9"/>
    <x v="1"/>
    <x v="0"/>
    <x v="0"/>
  </r>
  <r>
    <s v="ORD-10417"/>
    <d v="2023-01-19T00:00:00"/>
    <x v="8"/>
    <x v="6"/>
    <x v="8"/>
    <x v="2"/>
    <x v="9"/>
    <x v="9"/>
    <x v="10"/>
    <x v="0"/>
    <x v="10"/>
    <x v="0"/>
    <x v="0"/>
    <x v="0"/>
  </r>
  <r>
    <s v="ORD-10414"/>
    <d v="2023-01-26T00:00:00"/>
    <x v="9"/>
    <x v="5"/>
    <x v="7"/>
    <x v="1"/>
    <x v="3"/>
    <x v="3"/>
    <x v="11"/>
    <x v="1"/>
    <x v="11"/>
    <x v="0"/>
    <x v="0"/>
    <x v="0"/>
  </r>
  <r>
    <s v="ORD-10061"/>
    <d v="2023-01-29T00:00:00"/>
    <x v="6"/>
    <x v="4"/>
    <x v="9"/>
    <x v="1"/>
    <x v="10"/>
    <x v="10"/>
    <x v="12"/>
    <x v="5"/>
    <x v="12"/>
    <x v="2"/>
    <x v="0"/>
    <x v="0"/>
  </r>
  <r>
    <s v="ORD-10313"/>
    <d v="2023-01-29T00:00:00"/>
    <x v="10"/>
    <x v="1"/>
    <x v="1"/>
    <x v="1"/>
    <x v="11"/>
    <x v="11"/>
    <x v="13"/>
    <x v="6"/>
    <x v="13"/>
    <x v="0"/>
    <x v="0"/>
    <x v="0"/>
  </r>
  <r>
    <s v="ORD-10571"/>
    <d v="2023-01-29T00:00:00"/>
    <x v="2"/>
    <x v="0"/>
    <x v="10"/>
    <x v="2"/>
    <x v="12"/>
    <x v="12"/>
    <x v="14"/>
    <x v="4"/>
    <x v="14"/>
    <x v="2"/>
    <x v="0"/>
    <x v="1"/>
  </r>
  <r>
    <s v="ORD-10538"/>
    <d v="2023-02-02T00:00:00"/>
    <x v="11"/>
    <x v="4"/>
    <x v="5"/>
    <x v="0"/>
    <x v="8"/>
    <x v="13"/>
    <x v="15"/>
    <x v="4"/>
    <x v="15"/>
    <x v="1"/>
    <x v="0"/>
    <x v="1"/>
  </r>
  <r>
    <s v="ORD-10135"/>
    <d v="2023-02-03T00:00:00"/>
    <x v="12"/>
    <x v="1"/>
    <x v="11"/>
    <x v="2"/>
    <x v="4"/>
    <x v="14"/>
    <x v="16"/>
    <x v="5"/>
    <x v="16"/>
    <x v="0"/>
    <x v="0"/>
    <x v="1"/>
  </r>
  <r>
    <s v="ORD-10443"/>
    <d v="2023-02-07T00:00:00"/>
    <x v="8"/>
    <x v="4"/>
    <x v="12"/>
    <x v="2"/>
    <x v="13"/>
    <x v="15"/>
    <x v="17"/>
    <x v="2"/>
    <x v="17"/>
    <x v="1"/>
    <x v="0"/>
    <x v="1"/>
  </r>
  <r>
    <s v="ORD-10521"/>
    <d v="2023-02-09T00:00:00"/>
    <x v="13"/>
    <x v="2"/>
    <x v="2"/>
    <x v="1"/>
    <x v="11"/>
    <x v="11"/>
    <x v="18"/>
    <x v="3"/>
    <x v="18"/>
    <x v="1"/>
    <x v="0"/>
    <x v="1"/>
  </r>
  <r>
    <s v="ORD-10275"/>
    <d v="2023-02-10T00:00:00"/>
    <x v="1"/>
    <x v="1"/>
    <x v="11"/>
    <x v="1"/>
    <x v="11"/>
    <x v="11"/>
    <x v="19"/>
    <x v="0"/>
    <x v="19"/>
    <x v="2"/>
    <x v="0"/>
    <x v="1"/>
  </r>
  <r>
    <s v="ORD-10546"/>
    <d v="2023-02-13T00:00:00"/>
    <x v="2"/>
    <x v="5"/>
    <x v="13"/>
    <x v="0"/>
    <x v="8"/>
    <x v="8"/>
    <x v="20"/>
    <x v="3"/>
    <x v="20"/>
    <x v="0"/>
    <x v="0"/>
    <x v="1"/>
  </r>
  <r>
    <s v="ORD-10086"/>
    <d v="2023-02-14T00:00:00"/>
    <x v="14"/>
    <x v="4"/>
    <x v="9"/>
    <x v="2"/>
    <x v="13"/>
    <x v="15"/>
    <x v="21"/>
    <x v="5"/>
    <x v="21"/>
    <x v="1"/>
    <x v="0"/>
    <x v="1"/>
  </r>
  <r>
    <s v="ORD-10276"/>
    <d v="2023-02-14T00:00:00"/>
    <x v="8"/>
    <x v="6"/>
    <x v="8"/>
    <x v="2"/>
    <x v="12"/>
    <x v="16"/>
    <x v="22"/>
    <x v="7"/>
    <x v="22"/>
    <x v="0"/>
    <x v="0"/>
    <x v="1"/>
  </r>
  <r>
    <s v="ORD-10033"/>
    <d v="2023-02-18T00:00:00"/>
    <x v="15"/>
    <x v="4"/>
    <x v="9"/>
    <x v="0"/>
    <x v="8"/>
    <x v="13"/>
    <x v="23"/>
    <x v="0"/>
    <x v="23"/>
    <x v="0"/>
    <x v="0"/>
    <x v="1"/>
  </r>
  <r>
    <s v="ORD-10040"/>
    <d v="2023-02-20T00:00:00"/>
    <x v="9"/>
    <x v="4"/>
    <x v="12"/>
    <x v="0"/>
    <x v="7"/>
    <x v="7"/>
    <x v="24"/>
    <x v="2"/>
    <x v="24"/>
    <x v="0"/>
    <x v="0"/>
    <x v="1"/>
  </r>
  <r>
    <s v="ORD-10221"/>
    <d v="2023-02-20T00:00:00"/>
    <x v="16"/>
    <x v="1"/>
    <x v="1"/>
    <x v="0"/>
    <x v="5"/>
    <x v="5"/>
    <x v="25"/>
    <x v="6"/>
    <x v="25"/>
    <x v="1"/>
    <x v="0"/>
    <x v="1"/>
  </r>
  <r>
    <s v="ORD-10286"/>
    <d v="2023-02-22T00:00:00"/>
    <x v="3"/>
    <x v="7"/>
    <x v="14"/>
    <x v="2"/>
    <x v="4"/>
    <x v="4"/>
    <x v="26"/>
    <x v="4"/>
    <x v="26"/>
    <x v="0"/>
    <x v="0"/>
    <x v="1"/>
  </r>
  <r>
    <s v="ORD-10452"/>
    <d v="2023-02-23T00:00:00"/>
    <x v="13"/>
    <x v="7"/>
    <x v="15"/>
    <x v="1"/>
    <x v="11"/>
    <x v="11"/>
    <x v="27"/>
    <x v="2"/>
    <x v="27"/>
    <x v="2"/>
    <x v="0"/>
    <x v="1"/>
  </r>
  <r>
    <s v="ORD-10584"/>
    <d v="2023-02-27T00:00:00"/>
    <x v="4"/>
    <x v="2"/>
    <x v="16"/>
    <x v="0"/>
    <x v="8"/>
    <x v="8"/>
    <x v="28"/>
    <x v="7"/>
    <x v="28"/>
    <x v="2"/>
    <x v="0"/>
    <x v="2"/>
  </r>
  <r>
    <s v="ORD-10570"/>
    <d v="2023-03-01T00:00:00"/>
    <x v="6"/>
    <x v="2"/>
    <x v="2"/>
    <x v="2"/>
    <x v="12"/>
    <x v="12"/>
    <x v="29"/>
    <x v="6"/>
    <x v="29"/>
    <x v="0"/>
    <x v="0"/>
    <x v="2"/>
  </r>
  <r>
    <s v="ORD-10272"/>
    <d v="2023-03-02T00:00:00"/>
    <x v="4"/>
    <x v="3"/>
    <x v="4"/>
    <x v="1"/>
    <x v="11"/>
    <x v="17"/>
    <x v="30"/>
    <x v="0"/>
    <x v="30"/>
    <x v="0"/>
    <x v="0"/>
    <x v="2"/>
  </r>
  <r>
    <s v="ORD-10107"/>
    <d v="2023-03-04T00:00:00"/>
    <x v="10"/>
    <x v="8"/>
    <x v="17"/>
    <x v="1"/>
    <x v="6"/>
    <x v="18"/>
    <x v="31"/>
    <x v="2"/>
    <x v="31"/>
    <x v="0"/>
    <x v="0"/>
    <x v="2"/>
  </r>
  <r>
    <s v="ORD-10153"/>
    <d v="2023-03-04T00:00:00"/>
    <x v="17"/>
    <x v="9"/>
    <x v="18"/>
    <x v="2"/>
    <x v="13"/>
    <x v="19"/>
    <x v="32"/>
    <x v="1"/>
    <x v="32"/>
    <x v="1"/>
    <x v="0"/>
    <x v="2"/>
  </r>
  <r>
    <s v="ORD-10142"/>
    <d v="2023-03-05T00:00:00"/>
    <x v="13"/>
    <x v="9"/>
    <x v="19"/>
    <x v="2"/>
    <x v="4"/>
    <x v="14"/>
    <x v="33"/>
    <x v="2"/>
    <x v="33"/>
    <x v="0"/>
    <x v="0"/>
    <x v="2"/>
  </r>
  <r>
    <s v="ORD-10231"/>
    <d v="2023-03-05T00:00:00"/>
    <x v="11"/>
    <x v="3"/>
    <x v="20"/>
    <x v="0"/>
    <x v="5"/>
    <x v="5"/>
    <x v="34"/>
    <x v="4"/>
    <x v="34"/>
    <x v="0"/>
    <x v="0"/>
    <x v="2"/>
  </r>
  <r>
    <s v="ORD-10165"/>
    <d v="2023-03-06T00:00:00"/>
    <x v="16"/>
    <x v="6"/>
    <x v="21"/>
    <x v="2"/>
    <x v="4"/>
    <x v="4"/>
    <x v="35"/>
    <x v="0"/>
    <x v="35"/>
    <x v="2"/>
    <x v="0"/>
    <x v="2"/>
  </r>
  <r>
    <s v="ORD-10581"/>
    <d v="2023-03-06T00:00:00"/>
    <x v="16"/>
    <x v="1"/>
    <x v="22"/>
    <x v="0"/>
    <x v="2"/>
    <x v="2"/>
    <x v="36"/>
    <x v="7"/>
    <x v="36"/>
    <x v="1"/>
    <x v="0"/>
    <x v="2"/>
  </r>
  <r>
    <s v="ORD-10066"/>
    <d v="2023-03-08T00:00:00"/>
    <x v="11"/>
    <x v="6"/>
    <x v="23"/>
    <x v="0"/>
    <x v="5"/>
    <x v="20"/>
    <x v="37"/>
    <x v="5"/>
    <x v="37"/>
    <x v="0"/>
    <x v="0"/>
    <x v="2"/>
  </r>
  <r>
    <s v="ORD-10143"/>
    <d v="2023-03-08T00:00:00"/>
    <x v="6"/>
    <x v="9"/>
    <x v="18"/>
    <x v="2"/>
    <x v="13"/>
    <x v="15"/>
    <x v="38"/>
    <x v="1"/>
    <x v="38"/>
    <x v="2"/>
    <x v="0"/>
    <x v="2"/>
  </r>
  <r>
    <s v="ORD-10233"/>
    <d v="2023-03-08T00:00:00"/>
    <x v="14"/>
    <x v="5"/>
    <x v="13"/>
    <x v="0"/>
    <x v="0"/>
    <x v="0"/>
    <x v="39"/>
    <x v="5"/>
    <x v="39"/>
    <x v="1"/>
    <x v="0"/>
    <x v="2"/>
  </r>
  <r>
    <s v="ORD-10290"/>
    <d v="2023-03-13T00:00:00"/>
    <x v="8"/>
    <x v="2"/>
    <x v="2"/>
    <x v="0"/>
    <x v="8"/>
    <x v="13"/>
    <x v="40"/>
    <x v="1"/>
    <x v="40"/>
    <x v="2"/>
    <x v="0"/>
    <x v="2"/>
  </r>
  <r>
    <s v="ORD-10081"/>
    <d v="2023-03-15T00:00:00"/>
    <x v="12"/>
    <x v="9"/>
    <x v="24"/>
    <x v="2"/>
    <x v="4"/>
    <x v="14"/>
    <x v="41"/>
    <x v="3"/>
    <x v="41"/>
    <x v="2"/>
    <x v="0"/>
    <x v="2"/>
  </r>
  <r>
    <s v="ORD-10364"/>
    <d v="2023-03-24T00:00:00"/>
    <x v="1"/>
    <x v="6"/>
    <x v="21"/>
    <x v="2"/>
    <x v="12"/>
    <x v="16"/>
    <x v="42"/>
    <x v="6"/>
    <x v="42"/>
    <x v="0"/>
    <x v="0"/>
    <x v="2"/>
  </r>
  <r>
    <s v="ORD-10112"/>
    <d v="2023-03-28T00:00:00"/>
    <x v="5"/>
    <x v="5"/>
    <x v="25"/>
    <x v="2"/>
    <x v="13"/>
    <x v="19"/>
    <x v="43"/>
    <x v="1"/>
    <x v="43"/>
    <x v="1"/>
    <x v="0"/>
    <x v="3"/>
  </r>
  <r>
    <s v="ORD-10334"/>
    <d v="2023-04-06T00:00:00"/>
    <x v="16"/>
    <x v="4"/>
    <x v="9"/>
    <x v="1"/>
    <x v="10"/>
    <x v="10"/>
    <x v="44"/>
    <x v="1"/>
    <x v="44"/>
    <x v="2"/>
    <x v="0"/>
    <x v="3"/>
  </r>
  <r>
    <s v="ORD-10190"/>
    <d v="2023-04-07T00:00:00"/>
    <x v="15"/>
    <x v="5"/>
    <x v="25"/>
    <x v="2"/>
    <x v="12"/>
    <x v="16"/>
    <x v="45"/>
    <x v="3"/>
    <x v="45"/>
    <x v="0"/>
    <x v="0"/>
    <x v="3"/>
  </r>
  <r>
    <s v="ORD-10317"/>
    <d v="2023-04-09T00:00:00"/>
    <x v="7"/>
    <x v="5"/>
    <x v="25"/>
    <x v="1"/>
    <x v="11"/>
    <x v="11"/>
    <x v="46"/>
    <x v="7"/>
    <x v="46"/>
    <x v="0"/>
    <x v="0"/>
    <x v="3"/>
  </r>
  <r>
    <s v="ORD-10199"/>
    <d v="2023-04-10T00:00:00"/>
    <x v="7"/>
    <x v="5"/>
    <x v="7"/>
    <x v="1"/>
    <x v="11"/>
    <x v="11"/>
    <x v="47"/>
    <x v="4"/>
    <x v="47"/>
    <x v="0"/>
    <x v="0"/>
    <x v="3"/>
  </r>
  <r>
    <s v="ORD-10482"/>
    <d v="2023-04-14T00:00:00"/>
    <x v="5"/>
    <x v="6"/>
    <x v="23"/>
    <x v="0"/>
    <x v="2"/>
    <x v="2"/>
    <x v="48"/>
    <x v="3"/>
    <x v="48"/>
    <x v="0"/>
    <x v="0"/>
    <x v="3"/>
  </r>
  <r>
    <s v="ORD-10073"/>
    <d v="2023-04-16T00:00:00"/>
    <x v="14"/>
    <x v="8"/>
    <x v="17"/>
    <x v="2"/>
    <x v="13"/>
    <x v="15"/>
    <x v="49"/>
    <x v="3"/>
    <x v="49"/>
    <x v="0"/>
    <x v="0"/>
    <x v="3"/>
  </r>
  <r>
    <s v="ORD-10416"/>
    <d v="2023-04-17T00:00:00"/>
    <x v="16"/>
    <x v="7"/>
    <x v="26"/>
    <x v="2"/>
    <x v="13"/>
    <x v="19"/>
    <x v="50"/>
    <x v="6"/>
    <x v="50"/>
    <x v="0"/>
    <x v="0"/>
    <x v="3"/>
  </r>
  <r>
    <s v="ORD-10108"/>
    <d v="2023-04-18T00:00:00"/>
    <x v="3"/>
    <x v="0"/>
    <x v="10"/>
    <x v="0"/>
    <x v="8"/>
    <x v="8"/>
    <x v="51"/>
    <x v="4"/>
    <x v="51"/>
    <x v="0"/>
    <x v="0"/>
    <x v="3"/>
  </r>
  <r>
    <s v="ORD-10121"/>
    <d v="2023-04-18T00:00:00"/>
    <x v="12"/>
    <x v="0"/>
    <x v="3"/>
    <x v="0"/>
    <x v="5"/>
    <x v="20"/>
    <x v="52"/>
    <x v="6"/>
    <x v="52"/>
    <x v="0"/>
    <x v="0"/>
    <x v="3"/>
  </r>
  <r>
    <s v="ORD-10579"/>
    <d v="2023-04-19T00:00:00"/>
    <x v="1"/>
    <x v="1"/>
    <x v="1"/>
    <x v="1"/>
    <x v="3"/>
    <x v="21"/>
    <x v="53"/>
    <x v="4"/>
    <x v="53"/>
    <x v="0"/>
    <x v="0"/>
    <x v="3"/>
  </r>
  <r>
    <s v="ORD-10063"/>
    <d v="2023-04-20T00:00:00"/>
    <x v="6"/>
    <x v="1"/>
    <x v="11"/>
    <x v="1"/>
    <x v="6"/>
    <x v="6"/>
    <x v="54"/>
    <x v="4"/>
    <x v="54"/>
    <x v="0"/>
    <x v="0"/>
    <x v="3"/>
  </r>
  <r>
    <s v="ORD-10284"/>
    <d v="2023-04-20T00:00:00"/>
    <x v="18"/>
    <x v="8"/>
    <x v="27"/>
    <x v="2"/>
    <x v="12"/>
    <x v="16"/>
    <x v="55"/>
    <x v="2"/>
    <x v="55"/>
    <x v="0"/>
    <x v="0"/>
    <x v="3"/>
  </r>
  <r>
    <s v="ORD-10310"/>
    <d v="2023-04-21T00:00:00"/>
    <x v="6"/>
    <x v="4"/>
    <x v="12"/>
    <x v="1"/>
    <x v="6"/>
    <x v="6"/>
    <x v="56"/>
    <x v="1"/>
    <x v="56"/>
    <x v="0"/>
    <x v="0"/>
    <x v="3"/>
  </r>
  <r>
    <s v="ORD-10529"/>
    <d v="2023-04-21T00:00:00"/>
    <x v="11"/>
    <x v="1"/>
    <x v="1"/>
    <x v="1"/>
    <x v="3"/>
    <x v="22"/>
    <x v="57"/>
    <x v="7"/>
    <x v="57"/>
    <x v="0"/>
    <x v="0"/>
    <x v="3"/>
  </r>
  <r>
    <s v="ORD-10434"/>
    <d v="2023-04-25T00:00:00"/>
    <x v="0"/>
    <x v="2"/>
    <x v="16"/>
    <x v="0"/>
    <x v="0"/>
    <x v="23"/>
    <x v="58"/>
    <x v="4"/>
    <x v="58"/>
    <x v="0"/>
    <x v="0"/>
    <x v="3"/>
  </r>
  <r>
    <s v="ORD-10014"/>
    <d v="2023-04-29T00:00:00"/>
    <x v="8"/>
    <x v="1"/>
    <x v="11"/>
    <x v="1"/>
    <x v="10"/>
    <x v="24"/>
    <x v="59"/>
    <x v="0"/>
    <x v="59"/>
    <x v="0"/>
    <x v="0"/>
    <x v="3"/>
  </r>
  <r>
    <s v="ORD-10562"/>
    <d v="2023-04-30T00:00:00"/>
    <x v="18"/>
    <x v="0"/>
    <x v="0"/>
    <x v="2"/>
    <x v="9"/>
    <x v="9"/>
    <x v="60"/>
    <x v="2"/>
    <x v="60"/>
    <x v="0"/>
    <x v="0"/>
    <x v="4"/>
  </r>
  <r>
    <s v="ORD-10512"/>
    <d v="2023-05-04T00:00:00"/>
    <x v="14"/>
    <x v="9"/>
    <x v="24"/>
    <x v="1"/>
    <x v="6"/>
    <x v="6"/>
    <x v="61"/>
    <x v="6"/>
    <x v="61"/>
    <x v="0"/>
    <x v="0"/>
    <x v="4"/>
  </r>
  <r>
    <s v="ORD-10019"/>
    <d v="2023-05-05T00:00:00"/>
    <x v="18"/>
    <x v="0"/>
    <x v="3"/>
    <x v="0"/>
    <x v="5"/>
    <x v="5"/>
    <x v="62"/>
    <x v="4"/>
    <x v="62"/>
    <x v="1"/>
    <x v="0"/>
    <x v="4"/>
  </r>
  <r>
    <s v="ORD-10289"/>
    <d v="2023-05-05T00:00:00"/>
    <x v="10"/>
    <x v="9"/>
    <x v="19"/>
    <x v="0"/>
    <x v="2"/>
    <x v="2"/>
    <x v="63"/>
    <x v="0"/>
    <x v="63"/>
    <x v="1"/>
    <x v="0"/>
    <x v="4"/>
  </r>
  <r>
    <s v="ORD-10492"/>
    <d v="2023-05-08T00:00:00"/>
    <x v="17"/>
    <x v="9"/>
    <x v="19"/>
    <x v="1"/>
    <x v="6"/>
    <x v="18"/>
    <x v="64"/>
    <x v="5"/>
    <x v="64"/>
    <x v="0"/>
    <x v="0"/>
    <x v="4"/>
  </r>
  <r>
    <s v="ORD-10326"/>
    <d v="2023-05-10T00:00:00"/>
    <x v="18"/>
    <x v="1"/>
    <x v="1"/>
    <x v="1"/>
    <x v="6"/>
    <x v="6"/>
    <x v="65"/>
    <x v="7"/>
    <x v="65"/>
    <x v="0"/>
    <x v="0"/>
    <x v="4"/>
  </r>
  <r>
    <s v="ORD-10381"/>
    <d v="2023-05-12T00:00:00"/>
    <x v="9"/>
    <x v="8"/>
    <x v="17"/>
    <x v="1"/>
    <x v="6"/>
    <x v="6"/>
    <x v="66"/>
    <x v="4"/>
    <x v="66"/>
    <x v="0"/>
    <x v="0"/>
    <x v="4"/>
  </r>
  <r>
    <s v="ORD-10590"/>
    <d v="2023-05-18T00:00:00"/>
    <x v="10"/>
    <x v="2"/>
    <x v="16"/>
    <x v="1"/>
    <x v="11"/>
    <x v="17"/>
    <x v="67"/>
    <x v="5"/>
    <x v="67"/>
    <x v="2"/>
    <x v="0"/>
    <x v="4"/>
  </r>
  <r>
    <s v="ORD-10017"/>
    <d v="2023-05-19T00:00:00"/>
    <x v="18"/>
    <x v="2"/>
    <x v="2"/>
    <x v="1"/>
    <x v="11"/>
    <x v="11"/>
    <x v="68"/>
    <x v="0"/>
    <x v="68"/>
    <x v="0"/>
    <x v="0"/>
    <x v="4"/>
  </r>
  <r>
    <s v="ORD-10387"/>
    <d v="2023-05-19T00:00:00"/>
    <x v="9"/>
    <x v="1"/>
    <x v="22"/>
    <x v="1"/>
    <x v="6"/>
    <x v="18"/>
    <x v="69"/>
    <x v="5"/>
    <x v="69"/>
    <x v="1"/>
    <x v="0"/>
    <x v="4"/>
  </r>
  <r>
    <s v="ORD-10026"/>
    <d v="2023-05-21T00:00:00"/>
    <x v="0"/>
    <x v="9"/>
    <x v="19"/>
    <x v="1"/>
    <x v="10"/>
    <x v="10"/>
    <x v="70"/>
    <x v="6"/>
    <x v="70"/>
    <x v="0"/>
    <x v="0"/>
    <x v="4"/>
  </r>
  <r>
    <s v="ORD-10096"/>
    <d v="2023-05-21T00:00:00"/>
    <x v="2"/>
    <x v="8"/>
    <x v="27"/>
    <x v="1"/>
    <x v="3"/>
    <x v="22"/>
    <x v="71"/>
    <x v="0"/>
    <x v="71"/>
    <x v="2"/>
    <x v="0"/>
    <x v="4"/>
  </r>
  <r>
    <s v="ORD-10384"/>
    <d v="2023-05-21T00:00:00"/>
    <x v="17"/>
    <x v="0"/>
    <x v="0"/>
    <x v="0"/>
    <x v="5"/>
    <x v="5"/>
    <x v="72"/>
    <x v="7"/>
    <x v="72"/>
    <x v="0"/>
    <x v="0"/>
    <x v="4"/>
  </r>
  <r>
    <s v="ORD-10410"/>
    <d v="2023-05-21T00:00:00"/>
    <x v="6"/>
    <x v="7"/>
    <x v="14"/>
    <x v="2"/>
    <x v="13"/>
    <x v="15"/>
    <x v="73"/>
    <x v="0"/>
    <x v="73"/>
    <x v="0"/>
    <x v="0"/>
    <x v="4"/>
  </r>
  <r>
    <s v="ORD-10358"/>
    <d v="2023-05-23T00:00:00"/>
    <x v="18"/>
    <x v="0"/>
    <x v="3"/>
    <x v="1"/>
    <x v="3"/>
    <x v="21"/>
    <x v="74"/>
    <x v="5"/>
    <x v="74"/>
    <x v="0"/>
    <x v="0"/>
    <x v="4"/>
  </r>
  <r>
    <s v="ORD-10036"/>
    <d v="2023-05-24T00:00:00"/>
    <x v="13"/>
    <x v="3"/>
    <x v="28"/>
    <x v="2"/>
    <x v="12"/>
    <x v="16"/>
    <x v="75"/>
    <x v="1"/>
    <x v="75"/>
    <x v="0"/>
    <x v="0"/>
    <x v="4"/>
  </r>
  <r>
    <s v="ORD-10514"/>
    <d v="2023-05-25T00:00:00"/>
    <x v="14"/>
    <x v="1"/>
    <x v="22"/>
    <x v="0"/>
    <x v="0"/>
    <x v="0"/>
    <x v="76"/>
    <x v="4"/>
    <x v="76"/>
    <x v="2"/>
    <x v="0"/>
    <x v="4"/>
  </r>
  <r>
    <s v="ORD-10007"/>
    <d v="2023-05-27T00:00:00"/>
    <x v="3"/>
    <x v="0"/>
    <x v="10"/>
    <x v="0"/>
    <x v="8"/>
    <x v="13"/>
    <x v="77"/>
    <x v="5"/>
    <x v="77"/>
    <x v="2"/>
    <x v="0"/>
    <x v="4"/>
  </r>
  <r>
    <s v="ORD-10351"/>
    <d v="2023-05-31T00:00:00"/>
    <x v="3"/>
    <x v="8"/>
    <x v="27"/>
    <x v="2"/>
    <x v="13"/>
    <x v="19"/>
    <x v="78"/>
    <x v="4"/>
    <x v="78"/>
    <x v="0"/>
    <x v="0"/>
    <x v="5"/>
  </r>
  <r>
    <s v="ORD-10218"/>
    <d v="2023-06-01T00:00:00"/>
    <x v="13"/>
    <x v="4"/>
    <x v="9"/>
    <x v="2"/>
    <x v="12"/>
    <x v="16"/>
    <x v="79"/>
    <x v="1"/>
    <x v="79"/>
    <x v="1"/>
    <x v="0"/>
    <x v="5"/>
  </r>
  <r>
    <s v="ORD-10080"/>
    <d v="2023-06-03T00:00:00"/>
    <x v="14"/>
    <x v="5"/>
    <x v="7"/>
    <x v="1"/>
    <x v="3"/>
    <x v="3"/>
    <x v="80"/>
    <x v="2"/>
    <x v="80"/>
    <x v="1"/>
    <x v="0"/>
    <x v="5"/>
  </r>
  <r>
    <s v="ORD-10283"/>
    <d v="2023-06-03T00:00:00"/>
    <x v="12"/>
    <x v="9"/>
    <x v="18"/>
    <x v="0"/>
    <x v="7"/>
    <x v="25"/>
    <x v="81"/>
    <x v="2"/>
    <x v="81"/>
    <x v="2"/>
    <x v="0"/>
    <x v="5"/>
  </r>
  <r>
    <s v="ORD-10328"/>
    <d v="2023-06-03T00:00:00"/>
    <x v="18"/>
    <x v="8"/>
    <x v="29"/>
    <x v="1"/>
    <x v="6"/>
    <x v="6"/>
    <x v="82"/>
    <x v="2"/>
    <x v="82"/>
    <x v="1"/>
    <x v="0"/>
    <x v="5"/>
  </r>
  <r>
    <s v="ORD-10511"/>
    <d v="2023-06-05T00:00:00"/>
    <x v="14"/>
    <x v="9"/>
    <x v="19"/>
    <x v="1"/>
    <x v="10"/>
    <x v="24"/>
    <x v="83"/>
    <x v="3"/>
    <x v="83"/>
    <x v="1"/>
    <x v="0"/>
    <x v="5"/>
  </r>
  <r>
    <s v="ORD-10361"/>
    <d v="2023-06-06T00:00:00"/>
    <x v="5"/>
    <x v="2"/>
    <x v="2"/>
    <x v="0"/>
    <x v="7"/>
    <x v="7"/>
    <x v="84"/>
    <x v="5"/>
    <x v="84"/>
    <x v="0"/>
    <x v="0"/>
    <x v="5"/>
  </r>
  <r>
    <s v="ORD-10566"/>
    <d v="2023-06-06T00:00:00"/>
    <x v="6"/>
    <x v="4"/>
    <x v="12"/>
    <x v="2"/>
    <x v="9"/>
    <x v="9"/>
    <x v="85"/>
    <x v="3"/>
    <x v="85"/>
    <x v="0"/>
    <x v="0"/>
    <x v="5"/>
  </r>
  <r>
    <s v="ORD-10580"/>
    <d v="2023-06-06T00:00:00"/>
    <x v="1"/>
    <x v="2"/>
    <x v="16"/>
    <x v="0"/>
    <x v="7"/>
    <x v="25"/>
    <x v="86"/>
    <x v="4"/>
    <x v="86"/>
    <x v="2"/>
    <x v="0"/>
    <x v="5"/>
  </r>
  <r>
    <s v="ORD-10433"/>
    <d v="2023-06-08T00:00:00"/>
    <x v="1"/>
    <x v="4"/>
    <x v="9"/>
    <x v="0"/>
    <x v="0"/>
    <x v="23"/>
    <x v="87"/>
    <x v="0"/>
    <x v="87"/>
    <x v="0"/>
    <x v="0"/>
    <x v="5"/>
  </r>
  <r>
    <s v="ORD-10488"/>
    <d v="2023-06-09T00:00:00"/>
    <x v="1"/>
    <x v="3"/>
    <x v="20"/>
    <x v="0"/>
    <x v="2"/>
    <x v="26"/>
    <x v="88"/>
    <x v="2"/>
    <x v="88"/>
    <x v="2"/>
    <x v="0"/>
    <x v="5"/>
  </r>
  <r>
    <s v="ORD-10151"/>
    <d v="2023-06-11T00:00:00"/>
    <x v="2"/>
    <x v="6"/>
    <x v="8"/>
    <x v="2"/>
    <x v="12"/>
    <x v="16"/>
    <x v="89"/>
    <x v="5"/>
    <x v="89"/>
    <x v="0"/>
    <x v="0"/>
    <x v="5"/>
  </r>
  <r>
    <s v="ORD-10329"/>
    <d v="2023-06-11T00:00:00"/>
    <x v="19"/>
    <x v="5"/>
    <x v="13"/>
    <x v="2"/>
    <x v="4"/>
    <x v="14"/>
    <x v="90"/>
    <x v="0"/>
    <x v="90"/>
    <x v="1"/>
    <x v="0"/>
    <x v="5"/>
  </r>
  <r>
    <s v="ORD-10131"/>
    <d v="2023-06-12T00:00:00"/>
    <x v="14"/>
    <x v="1"/>
    <x v="22"/>
    <x v="1"/>
    <x v="6"/>
    <x v="6"/>
    <x v="91"/>
    <x v="7"/>
    <x v="91"/>
    <x v="0"/>
    <x v="0"/>
    <x v="5"/>
  </r>
  <r>
    <s v="ORD-10554"/>
    <d v="2023-06-21T00:00:00"/>
    <x v="19"/>
    <x v="2"/>
    <x v="16"/>
    <x v="1"/>
    <x v="10"/>
    <x v="10"/>
    <x v="92"/>
    <x v="7"/>
    <x v="92"/>
    <x v="2"/>
    <x v="0"/>
    <x v="5"/>
  </r>
  <r>
    <s v="ORD-10267"/>
    <d v="2023-06-22T00:00:00"/>
    <x v="8"/>
    <x v="8"/>
    <x v="17"/>
    <x v="1"/>
    <x v="3"/>
    <x v="3"/>
    <x v="93"/>
    <x v="6"/>
    <x v="93"/>
    <x v="2"/>
    <x v="0"/>
    <x v="5"/>
  </r>
  <r>
    <s v="ORD-10055"/>
    <d v="2023-06-27T00:00:00"/>
    <x v="19"/>
    <x v="1"/>
    <x v="1"/>
    <x v="2"/>
    <x v="13"/>
    <x v="15"/>
    <x v="94"/>
    <x v="0"/>
    <x v="94"/>
    <x v="0"/>
    <x v="0"/>
    <x v="5"/>
  </r>
  <r>
    <s v="ORD-10527"/>
    <d v="2023-06-30T00:00:00"/>
    <x v="0"/>
    <x v="3"/>
    <x v="28"/>
    <x v="1"/>
    <x v="11"/>
    <x v="11"/>
    <x v="95"/>
    <x v="3"/>
    <x v="95"/>
    <x v="0"/>
    <x v="0"/>
    <x v="6"/>
  </r>
  <r>
    <s v="ORD-10308"/>
    <d v="2023-07-02T00:00:00"/>
    <x v="0"/>
    <x v="9"/>
    <x v="24"/>
    <x v="1"/>
    <x v="10"/>
    <x v="10"/>
    <x v="96"/>
    <x v="6"/>
    <x v="96"/>
    <x v="0"/>
    <x v="0"/>
    <x v="6"/>
  </r>
  <r>
    <s v="ORD-10088"/>
    <d v="2023-07-04T00:00:00"/>
    <x v="18"/>
    <x v="8"/>
    <x v="27"/>
    <x v="0"/>
    <x v="0"/>
    <x v="23"/>
    <x v="97"/>
    <x v="2"/>
    <x v="97"/>
    <x v="0"/>
    <x v="0"/>
    <x v="6"/>
  </r>
  <r>
    <s v="ORD-10598"/>
    <d v="2023-07-04T00:00:00"/>
    <x v="13"/>
    <x v="2"/>
    <x v="16"/>
    <x v="2"/>
    <x v="9"/>
    <x v="9"/>
    <x v="98"/>
    <x v="3"/>
    <x v="98"/>
    <x v="0"/>
    <x v="0"/>
    <x v="6"/>
  </r>
  <r>
    <s v="ORD-10287"/>
    <d v="2023-07-06T00:00:00"/>
    <x v="15"/>
    <x v="9"/>
    <x v="24"/>
    <x v="0"/>
    <x v="5"/>
    <x v="20"/>
    <x v="99"/>
    <x v="5"/>
    <x v="99"/>
    <x v="2"/>
    <x v="0"/>
    <x v="6"/>
  </r>
  <r>
    <s v="ORD-10460"/>
    <d v="2023-07-06T00:00:00"/>
    <x v="19"/>
    <x v="1"/>
    <x v="11"/>
    <x v="0"/>
    <x v="8"/>
    <x v="13"/>
    <x v="100"/>
    <x v="4"/>
    <x v="100"/>
    <x v="0"/>
    <x v="0"/>
    <x v="6"/>
  </r>
  <r>
    <s v="ORD-10156"/>
    <d v="2023-07-18T00:00:00"/>
    <x v="11"/>
    <x v="1"/>
    <x v="11"/>
    <x v="0"/>
    <x v="5"/>
    <x v="5"/>
    <x v="101"/>
    <x v="2"/>
    <x v="101"/>
    <x v="0"/>
    <x v="0"/>
    <x v="6"/>
  </r>
  <r>
    <s v="ORD-10296"/>
    <d v="2023-07-21T00:00:00"/>
    <x v="6"/>
    <x v="8"/>
    <x v="27"/>
    <x v="0"/>
    <x v="8"/>
    <x v="8"/>
    <x v="102"/>
    <x v="3"/>
    <x v="102"/>
    <x v="0"/>
    <x v="0"/>
    <x v="6"/>
  </r>
  <r>
    <s v="ORD-10397"/>
    <d v="2023-07-22T00:00:00"/>
    <x v="4"/>
    <x v="1"/>
    <x v="1"/>
    <x v="0"/>
    <x v="2"/>
    <x v="26"/>
    <x v="103"/>
    <x v="1"/>
    <x v="103"/>
    <x v="0"/>
    <x v="0"/>
    <x v="6"/>
  </r>
  <r>
    <s v="ORD-10525"/>
    <d v="2023-07-24T00:00:00"/>
    <x v="15"/>
    <x v="5"/>
    <x v="13"/>
    <x v="0"/>
    <x v="7"/>
    <x v="7"/>
    <x v="104"/>
    <x v="2"/>
    <x v="104"/>
    <x v="2"/>
    <x v="0"/>
    <x v="6"/>
  </r>
  <r>
    <s v="ORD-10245"/>
    <d v="2023-07-25T00:00:00"/>
    <x v="16"/>
    <x v="3"/>
    <x v="20"/>
    <x v="2"/>
    <x v="4"/>
    <x v="4"/>
    <x v="105"/>
    <x v="4"/>
    <x v="105"/>
    <x v="0"/>
    <x v="0"/>
    <x v="6"/>
  </r>
  <r>
    <s v="ORD-10243"/>
    <d v="2023-07-29T00:00:00"/>
    <x v="18"/>
    <x v="6"/>
    <x v="8"/>
    <x v="1"/>
    <x v="3"/>
    <x v="3"/>
    <x v="106"/>
    <x v="4"/>
    <x v="106"/>
    <x v="0"/>
    <x v="0"/>
    <x v="6"/>
  </r>
  <r>
    <s v="ORD-10140"/>
    <d v="2023-07-30T00:00:00"/>
    <x v="18"/>
    <x v="9"/>
    <x v="24"/>
    <x v="2"/>
    <x v="12"/>
    <x v="16"/>
    <x v="107"/>
    <x v="6"/>
    <x v="107"/>
    <x v="0"/>
    <x v="0"/>
    <x v="6"/>
  </r>
  <r>
    <s v="ORD-10314"/>
    <d v="2023-07-30T00:00:00"/>
    <x v="10"/>
    <x v="4"/>
    <x v="5"/>
    <x v="2"/>
    <x v="13"/>
    <x v="15"/>
    <x v="108"/>
    <x v="2"/>
    <x v="108"/>
    <x v="1"/>
    <x v="0"/>
    <x v="7"/>
  </r>
  <r>
    <s v="ORD-10319"/>
    <d v="2023-08-06T00:00:00"/>
    <x v="2"/>
    <x v="3"/>
    <x v="28"/>
    <x v="2"/>
    <x v="9"/>
    <x v="9"/>
    <x v="109"/>
    <x v="4"/>
    <x v="109"/>
    <x v="1"/>
    <x v="0"/>
    <x v="7"/>
  </r>
  <r>
    <s v="ORD-10333"/>
    <d v="2023-08-08T00:00:00"/>
    <x v="13"/>
    <x v="9"/>
    <x v="18"/>
    <x v="1"/>
    <x v="6"/>
    <x v="18"/>
    <x v="110"/>
    <x v="1"/>
    <x v="110"/>
    <x v="0"/>
    <x v="0"/>
    <x v="7"/>
  </r>
  <r>
    <s v="ORD-10304"/>
    <d v="2023-08-10T00:00:00"/>
    <x v="12"/>
    <x v="2"/>
    <x v="2"/>
    <x v="1"/>
    <x v="10"/>
    <x v="24"/>
    <x v="111"/>
    <x v="5"/>
    <x v="111"/>
    <x v="1"/>
    <x v="0"/>
    <x v="7"/>
  </r>
  <r>
    <s v="ORD-10226"/>
    <d v="2023-08-22T00:00:00"/>
    <x v="1"/>
    <x v="5"/>
    <x v="13"/>
    <x v="0"/>
    <x v="8"/>
    <x v="13"/>
    <x v="112"/>
    <x v="3"/>
    <x v="112"/>
    <x v="0"/>
    <x v="0"/>
    <x v="7"/>
  </r>
  <r>
    <s v="ORD-10067"/>
    <d v="2023-08-24T00:00:00"/>
    <x v="9"/>
    <x v="9"/>
    <x v="19"/>
    <x v="1"/>
    <x v="10"/>
    <x v="10"/>
    <x v="113"/>
    <x v="1"/>
    <x v="113"/>
    <x v="2"/>
    <x v="0"/>
    <x v="7"/>
  </r>
  <r>
    <s v="ORD-10034"/>
    <d v="2023-08-25T00:00:00"/>
    <x v="3"/>
    <x v="0"/>
    <x v="0"/>
    <x v="2"/>
    <x v="4"/>
    <x v="14"/>
    <x v="114"/>
    <x v="7"/>
    <x v="114"/>
    <x v="0"/>
    <x v="0"/>
    <x v="7"/>
  </r>
  <r>
    <s v="ORD-10092"/>
    <d v="2023-08-27T00:00:00"/>
    <x v="4"/>
    <x v="9"/>
    <x v="19"/>
    <x v="0"/>
    <x v="1"/>
    <x v="27"/>
    <x v="115"/>
    <x v="1"/>
    <x v="115"/>
    <x v="0"/>
    <x v="0"/>
    <x v="7"/>
  </r>
  <r>
    <s v="ORD-10185"/>
    <d v="2023-08-31T00:00:00"/>
    <x v="17"/>
    <x v="1"/>
    <x v="1"/>
    <x v="0"/>
    <x v="0"/>
    <x v="0"/>
    <x v="116"/>
    <x v="6"/>
    <x v="116"/>
    <x v="0"/>
    <x v="0"/>
    <x v="8"/>
  </r>
  <r>
    <s v="ORD-10576"/>
    <d v="2023-09-02T00:00:00"/>
    <x v="15"/>
    <x v="1"/>
    <x v="22"/>
    <x v="1"/>
    <x v="6"/>
    <x v="6"/>
    <x v="117"/>
    <x v="4"/>
    <x v="117"/>
    <x v="0"/>
    <x v="0"/>
    <x v="8"/>
  </r>
  <r>
    <s v="ORD-10390"/>
    <d v="2023-09-03T00:00:00"/>
    <x v="1"/>
    <x v="4"/>
    <x v="5"/>
    <x v="1"/>
    <x v="10"/>
    <x v="10"/>
    <x v="118"/>
    <x v="4"/>
    <x v="118"/>
    <x v="0"/>
    <x v="0"/>
    <x v="8"/>
  </r>
  <r>
    <s v="ORD-10016"/>
    <d v="2023-09-05T00:00:00"/>
    <x v="9"/>
    <x v="7"/>
    <x v="26"/>
    <x v="2"/>
    <x v="13"/>
    <x v="15"/>
    <x v="119"/>
    <x v="3"/>
    <x v="119"/>
    <x v="0"/>
    <x v="0"/>
    <x v="8"/>
  </r>
  <r>
    <s v="ORD-10524"/>
    <d v="2023-09-05T00:00:00"/>
    <x v="6"/>
    <x v="0"/>
    <x v="10"/>
    <x v="1"/>
    <x v="3"/>
    <x v="3"/>
    <x v="120"/>
    <x v="4"/>
    <x v="120"/>
    <x v="0"/>
    <x v="0"/>
    <x v="8"/>
  </r>
  <r>
    <s v="ORD-10042"/>
    <d v="2023-09-06T00:00:00"/>
    <x v="6"/>
    <x v="4"/>
    <x v="5"/>
    <x v="2"/>
    <x v="4"/>
    <x v="4"/>
    <x v="121"/>
    <x v="0"/>
    <x v="121"/>
    <x v="1"/>
    <x v="0"/>
    <x v="8"/>
  </r>
  <r>
    <s v="ORD-10169"/>
    <d v="2023-09-07T00:00:00"/>
    <x v="17"/>
    <x v="0"/>
    <x v="3"/>
    <x v="0"/>
    <x v="2"/>
    <x v="2"/>
    <x v="122"/>
    <x v="5"/>
    <x v="122"/>
    <x v="2"/>
    <x v="0"/>
    <x v="8"/>
  </r>
  <r>
    <s v="ORD-10510"/>
    <d v="2023-09-07T00:00:00"/>
    <x v="12"/>
    <x v="8"/>
    <x v="17"/>
    <x v="2"/>
    <x v="9"/>
    <x v="28"/>
    <x v="123"/>
    <x v="0"/>
    <x v="123"/>
    <x v="0"/>
    <x v="0"/>
    <x v="8"/>
  </r>
  <r>
    <s v="ORD-10268"/>
    <d v="2023-09-08T00:00:00"/>
    <x v="19"/>
    <x v="4"/>
    <x v="12"/>
    <x v="0"/>
    <x v="7"/>
    <x v="7"/>
    <x v="124"/>
    <x v="6"/>
    <x v="124"/>
    <x v="0"/>
    <x v="0"/>
    <x v="8"/>
  </r>
  <r>
    <s v="ORD-10577"/>
    <d v="2023-09-09T00:00:00"/>
    <x v="7"/>
    <x v="9"/>
    <x v="24"/>
    <x v="1"/>
    <x v="10"/>
    <x v="10"/>
    <x v="125"/>
    <x v="1"/>
    <x v="125"/>
    <x v="0"/>
    <x v="0"/>
    <x v="8"/>
  </r>
  <r>
    <s v="ORD-10355"/>
    <d v="2023-09-10T00:00:00"/>
    <x v="5"/>
    <x v="6"/>
    <x v="8"/>
    <x v="2"/>
    <x v="13"/>
    <x v="19"/>
    <x v="126"/>
    <x v="2"/>
    <x v="126"/>
    <x v="0"/>
    <x v="0"/>
    <x v="8"/>
  </r>
  <r>
    <s v="ORD-10068"/>
    <d v="2023-09-12T00:00:00"/>
    <x v="11"/>
    <x v="9"/>
    <x v="18"/>
    <x v="1"/>
    <x v="10"/>
    <x v="24"/>
    <x v="127"/>
    <x v="3"/>
    <x v="127"/>
    <x v="1"/>
    <x v="0"/>
    <x v="8"/>
  </r>
  <r>
    <s v="ORD-10005"/>
    <d v="2023-09-13T00:00:00"/>
    <x v="12"/>
    <x v="0"/>
    <x v="3"/>
    <x v="2"/>
    <x v="13"/>
    <x v="19"/>
    <x v="128"/>
    <x v="3"/>
    <x v="128"/>
    <x v="1"/>
    <x v="0"/>
    <x v="8"/>
  </r>
  <r>
    <s v="ORD-10079"/>
    <d v="2023-09-16T00:00:00"/>
    <x v="8"/>
    <x v="3"/>
    <x v="20"/>
    <x v="2"/>
    <x v="12"/>
    <x v="16"/>
    <x v="129"/>
    <x v="7"/>
    <x v="129"/>
    <x v="2"/>
    <x v="0"/>
    <x v="8"/>
  </r>
  <r>
    <s v="ORD-10291"/>
    <d v="2023-09-16T00:00:00"/>
    <x v="7"/>
    <x v="9"/>
    <x v="24"/>
    <x v="1"/>
    <x v="3"/>
    <x v="21"/>
    <x v="130"/>
    <x v="0"/>
    <x v="130"/>
    <x v="0"/>
    <x v="0"/>
    <x v="8"/>
  </r>
  <r>
    <s v="ORD-10148"/>
    <d v="2023-09-23T00:00:00"/>
    <x v="12"/>
    <x v="1"/>
    <x v="11"/>
    <x v="0"/>
    <x v="2"/>
    <x v="2"/>
    <x v="131"/>
    <x v="3"/>
    <x v="131"/>
    <x v="2"/>
    <x v="0"/>
    <x v="8"/>
  </r>
  <r>
    <s v="ORD-10312"/>
    <d v="2023-09-23T00:00:00"/>
    <x v="7"/>
    <x v="7"/>
    <x v="15"/>
    <x v="1"/>
    <x v="3"/>
    <x v="3"/>
    <x v="132"/>
    <x v="4"/>
    <x v="132"/>
    <x v="2"/>
    <x v="0"/>
    <x v="8"/>
  </r>
  <r>
    <s v="ORD-10155"/>
    <d v="2023-09-25T00:00:00"/>
    <x v="10"/>
    <x v="0"/>
    <x v="0"/>
    <x v="0"/>
    <x v="1"/>
    <x v="27"/>
    <x v="133"/>
    <x v="1"/>
    <x v="133"/>
    <x v="0"/>
    <x v="0"/>
    <x v="8"/>
  </r>
  <r>
    <s v="ORD-10182"/>
    <d v="2023-09-28T00:00:00"/>
    <x v="7"/>
    <x v="2"/>
    <x v="6"/>
    <x v="1"/>
    <x v="6"/>
    <x v="18"/>
    <x v="134"/>
    <x v="3"/>
    <x v="134"/>
    <x v="2"/>
    <x v="0"/>
    <x v="8"/>
  </r>
  <r>
    <s v="ORD-10240"/>
    <d v="2023-09-28T00:00:00"/>
    <x v="3"/>
    <x v="6"/>
    <x v="8"/>
    <x v="0"/>
    <x v="0"/>
    <x v="23"/>
    <x v="135"/>
    <x v="0"/>
    <x v="135"/>
    <x v="0"/>
    <x v="0"/>
    <x v="9"/>
  </r>
  <r>
    <s v="ORD-10315"/>
    <d v="2023-10-02T00:00:00"/>
    <x v="1"/>
    <x v="8"/>
    <x v="27"/>
    <x v="0"/>
    <x v="5"/>
    <x v="20"/>
    <x v="136"/>
    <x v="1"/>
    <x v="136"/>
    <x v="0"/>
    <x v="0"/>
    <x v="9"/>
  </r>
  <r>
    <s v="ORD-10027"/>
    <d v="2023-10-03T00:00:00"/>
    <x v="16"/>
    <x v="2"/>
    <x v="16"/>
    <x v="2"/>
    <x v="9"/>
    <x v="9"/>
    <x v="137"/>
    <x v="4"/>
    <x v="137"/>
    <x v="0"/>
    <x v="0"/>
    <x v="9"/>
  </r>
  <r>
    <s v="ORD-10467"/>
    <d v="2023-10-03T00:00:00"/>
    <x v="14"/>
    <x v="9"/>
    <x v="24"/>
    <x v="2"/>
    <x v="9"/>
    <x v="9"/>
    <x v="138"/>
    <x v="3"/>
    <x v="138"/>
    <x v="0"/>
    <x v="0"/>
    <x v="9"/>
  </r>
  <r>
    <s v="ORD-10405"/>
    <d v="2023-10-04T00:00:00"/>
    <x v="3"/>
    <x v="0"/>
    <x v="3"/>
    <x v="0"/>
    <x v="5"/>
    <x v="20"/>
    <x v="139"/>
    <x v="3"/>
    <x v="139"/>
    <x v="2"/>
    <x v="0"/>
    <x v="9"/>
  </r>
  <r>
    <s v="ORD-10263"/>
    <d v="2023-10-06T00:00:00"/>
    <x v="16"/>
    <x v="0"/>
    <x v="3"/>
    <x v="0"/>
    <x v="7"/>
    <x v="7"/>
    <x v="140"/>
    <x v="0"/>
    <x v="140"/>
    <x v="2"/>
    <x v="0"/>
    <x v="9"/>
  </r>
  <r>
    <s v="ORD-10448"/>
    <d v="2023-10-09T00:00:00"/>
    <x v="15"/>
    <x v="5"/>
    <x v="7"/>
    <x v="1"/>
    <x v="3"/>
    <x v="3"/>
    <x v="141"/>
    <x v="1"/>
    <x v="141"/>
    <x v="0"/>
    <x v="0"/>
    <x v="9"/>
  </r>
  <r>
    <s v="ORD-10010"/>
    <d v="2023-10-11T00:00:00"/>
    <x v="1"/>
    <x v="2"/>
    <x v="6"/>
    <x v="2"/>
    <x v="4"/>
    <x v="14"/>
    <x v="142"/>
    <x v="0"/>
    <x v="142"/>
    <x v="2"/>
    <x v="0"/>
    <x v="9"/>
  </r>
  <r>
    <s v="ORD-10490"/>
    <d v="2023-10-12T00:00:00"/>
    <x v="5"/>
    <x v="1"/>
    <x v="22"/>
    <x v="2"/>
    <x v="9"/>
    <x v="28"/>
    <x v="143"/>
    <x v="0"/>
    <x v="143"/>
    <x v="2"/>
    <x v="0"/>
    <x v="9"/>
  </r>
  <r>
    <s v="ORD-10002"/>
    <d v="2023-10-13T00:00:00"/>
    <x v="17"/>
    <x v="9"/>
    <x v="18"/>
    <x v="2"/>
    <x v="13"/>
    <x v="19"/>
    <x v="144"/>
    <x v="0"/>
    <x v="144"/>
    <x v="0"/>
    <x v="0"/>
    <x v="9"/>
  </r>
  <r>
    <s v="ORD-10234"/>
    <d v="2023-10-13T00:00:00"/>
    <x v="2"/>
    <x v="4"/>
    <x v="5"/>
    <x v="2"/>
    <x v="13"/>
    <x v="15"/>
    <x v="145"/>
    <x v="2"/>
    <x v="145"/>
    <x v="0"/>
    <x v="0"/>
    <x v="9"/>
  </r>
  <r>
    <s v="ORD-10122"/>
    <d v="2023-10-17T00:00:00"/>
    <x v="11"/>
    <x v="7"/>
    <x v="26"/>
    <x v="2"/>
    <x v="12"/>
    <x v="16"/>
    <x v="146"/>
    <x v="4"/>
    <x v="146"/>
    <x v="0"/>
    <x v="0"/>
    <x v="9"/>
  </r>
  <r>
    <s v="ORD-10274"/>
    <d v="2023-10-19T00:00:00"/>
    <x v="2"/>
    <x v="2"/>
    <x v="6"/>
    <x v="2"/>
    <x v="13"/>
    <x v="19"/>
    <x v="147"/>
    <x v="6"/>
    <x v="147"/>
    <x v="2"/>
    <x v="0"/>
    <x v="9"/>
  </r>
  <r>
    <s v="ORD-10189"/>
    <d v="2023-10-21T00:00:00"/>
    <x v="9"/>
    <x v="2"/>
    <x v="16"/>
    <x v="2"/>
    <x v="13"/>
    <x v="19"/>
    <x v="148"/>
    <x v="5"/>
    <x v="148"/>
    <x v="2"/>
    <x v="0"/>
    <x v="9"/>
  </r>
  <r>
    <s v="ORD-10513"/>
    <d v="2023-10-22T00:00:00"/>
    <x v="7"/>
    <x v="4"/>
    <x v="12"/>
    <x v="0"/>
    <x v="7"/>
    <x v="25"/>
    <x v="149"/>
    <x v="4"/>
    <x v="149"/>
    <x v="2"/>
    <x v="0"/>
    <x v="9"/>
  </r>
  <r>
    <s v="ORD-10161"/>
    <d v="2023-10-23T00:00:00"/>
    <x v="13"/>
    <x v="6"/>
    <x v="23"/>
    <x v="0"/>
    <x v="8"/>
    <x v="8"/>
    <x v="150"/>
    <x v="6"/>
    <x v="150"/>
    <x v="0"/>
    <x v="0"/>
    <x v="9"/>
  </r>
  <r>
    <s v="ORD-10506"/>
    <d v="2023-10-25T00:00:00"/>
    <x v="7"/>
    <x v="3"/>
    <x v="20"/>
    <x v="2"/>
    <x v="4"/>
    <x v="14"/>
    <x v="151"/>
    <x v="5"/>
    <x v="151"/>
    <x v="2"/>
    <x v="0"/>
    <x v="9"/>
  </r>
  <r>
    <s v="ORD-10551"/>
    <d v="2023-10-25T00:00:00"/>
    <x v="18"/>
    <x v="5"/>
    <x v="7"/>
    <x v="1"/>
    <x v="11"/>
    <x v="17"/>
    <x v="152"/>
    <x v="3"/>
    <x v="152"/>
    <x v="1"/>
    <x v="0"/>
    <x v="9"/>
  </r>
  <r>
    <s v="ORD-10451"/>
    <d v="2023-10-26T00:00:00"/>
    <x v="18"/>
    <x v="9"/>
    <x v="19"/>
    <x v="2"/>
    <x v="9"/>
    <x v="28"/>
    <x v="153"/>
    <x v="6"/>
    <x v="153"/>
    <x v="0"/>
    <x v="0"/>
    <x v="9"/>
  </r>
  <r>
    <s v="ORD-10370"/>
    <d v="2023-10-28T00:00:00"/>
    <x v="3"/>
    <x v="8"/>
    <x v="17"/>
    <x v="2"/>
    <x v="12"/>
    <x v="12"/>
    <x v="154"/>
    <x v="7"/>
    <x v="154"/>
    <x v="0"/>
    <x v="0"/>
    <x v="9"/>
  </r>
  <r>
    <s v="ORD-10030"/>
    <d v="2023-10-31T00:00:00"/>
    <x v="6"/>
    <x v="9"/>
    <x v="18"/>
    <x v="2"/>
    <x v="12"/>
    <x v="12"/>
    <x v="155"/>
    <x v="6"/>
    <x v="155"/>
    <x v="1"/>
    <x v="0"/>
    <x v="9"/>
  </r>
  <r>
    <s v="ORD-10265"/>
    <d v="2023-10-31T00:00:00"/>
    <x v="9"/>
    <x v="7"/>
    <x v="14"/>
    <x v="2"/>
    <x v="9"/>
    <x v="28"/>
    <x v="156"/>
    <x v="6"/>
    <x v="156"/>
    <x v="0"/>
    <x v="0"/>
    <x v="10"/>
  </r>
  <r>
    <s v="ORD-10162"/>
    <d v="2023-11-02T00:00:00"/>
    <x v="10"/>
    <x v="8"/>
    <x v="17"/>
    <x v="1"/>
    <x v="10"/>
    <x v="24"/>
    <x v="157"/>
    <x v="3"/>
    <x v="157"/>
    <x v="2"/>
    <x v="0"/>
    <x v="10"/>
  </r>
  <r>
    <s v="ORD-10293"/>
    <d v="2023-11-03T00:00:00"/>
    <x v="8"/>
    <x v="8"/>
    <x v="29"/>
    <x v="2"/>
    <x v="4"/>
    <x v="4"/>
    <x v="158"/>
    <x v="1"/>
    <x v="158"/>
    <x v="0"/>
    <x v="0"/>
    <x v="10"/>
  </r>
  <r>
    <s v="ORD-10545"/>
    <d v="2023-11-05T00:00:00"/>
    <x v="10"/>
    <x v="9"/>
    <x v="18"/>
    <x v="0"/>
    <x v="0"/>
    <x v="0"/>
    <x v="159"/>
    <x v="3"/>
    <x v="159"/>
    <x v="0"/>
    <x v="0"/>
    <x v="10"/>
  </r>
  <r>
    <s v="ORD-10103"/>
    <d v="2023-11-09T00:00:00"/>
    <x v="12"/>
    <x v="0"/>
    <x v="3"/>
    <x v="0"/>
    <x v="1"/>
    <x v="27"/>
    <x v="160"/>
    <x v="6"/>
    <x v="160"/>
    <x v="1"/>
    <x v="0"/>
    <x v="10"/>
  </r>
  <r>
    <s v="ORD-10013"/>
    <d v="2023-11-10T00:00:00"/>
    <x v="3"/>
    <x v="5"/>
    <x v="13"/>
    <x v="2"/>
    <x v="9"/>
    <x v="9"/>
    <x v="161"/>
    <x v="0"/>
    <x v="161"/>
    <x v="0"/>
    <x v="0"/>
    <x v="10"/>
  </r>
  <r>
    <s v="ORD-10549"/>
    <d v="2023-11-11T00:00:00"/>
    <x v="9"/>
    <x v="2"/>
    <x v="2"/>
    <x v="2"/>
    <x v="13"/>
    <x v="19"/>
    <x v="162"/>
    <x v="2"/>
    <x v="162"/>
    <x v="0"/>
    <x v="0"/>
    <x v="10"/>
  </r>
  <r>
    <s v="ORD-10105"/>
    <d v="2023-11-13T00:00:00"/>
    <x v="9"/>
    <x v="7"/>
    <x v="14"/>
    <x v="0"/>
    <x v="8"/>
    <x v="13"/>
    <x v="163"/>
    <x v="0"/>
    <x v="163"/>
    <x v="1"/>
    <x v="0"/>
    <x v="10"/>
  </r>
  <r>
    <s v="ORD-10004"/>
    <d v="2023-11-15T00:00:00"/>
    <x v="18"/>
    <x v="8"/>
    <x v="17"/>
    <x v="2"/>
    <x v="4"/>
    <x v="14"/>
    <x v="164"/>
    <x v="5"/>
    <x v="164"/>
    <x v="0"/>
    <x v="0"/>
    <x v="10"/>
  </r>
  <r>
    <s v="ORD-10354"/>
    <d v="2023-11-17T00:00:00"/>
    <x v="9"/>
    <x v="7"/>
    <x v="26"/>
    <x v="0"/>
    <x v="5"/>
    <x v="5"/>
    <x v="165"/>
    <x v="3"/>
    <x v="165"/>
    <x v="2"/>
    <x v="0"/>
    <x v="10"/>
  </r>
  <r>
    <s v="ORD-10583"/>
    <d v="2023-11-17T00:00:00"/>
    <x v="4"/>
    <x v="1"/>
    <x v="11"/>
    <x v="2"/>
    <x v="4"/>
    <x v="14"/>
    <x v="166"/>
    <x v="3"/>
    <x v="166"/>
    <x v="2"/>
    <x v="0"/>
    <x v="10"/>
  </r>
  <r>
    <s v="ORD-10368"/>
    <d v="2023-11-19T00:00:00"/>
    <x v="13"/>
    <x v="5"/>
    <x v="25"/>
    <x v="0"/>
    <x v="7"/>
    <x v="7"/>
    <x v="167"/>
    <x v="2"/>
    <x v="167"/>
    <x v="0"/>
    <x v="0"/>
    <x v="10"/>
  </r>
  <r>
    <s v="ORD-10530"/>
    <d v="2023-11-20T00:00:00"/>
    <x v="1"/>
    <x v="2"/>
    <x v="6"/>
    <x v="1"/>
    <x v="11"/>
    <x v="11"/>
    <x v="168"/>
    <x v="2"/>
    <x v="168"/>
    <x v="0"/>
    <x v="0"/>
    <x v="10"/>
  </r>
  <r>
    <s v="ORD-10029"/>
    <d v="2023-11-27T00:00:00"/>
    <x v="17"/>
    <x v="7"/>
    <x v="15"/>
    <x v="1"/>
    <x v="10"/>
    <x v="10"/>
    <x v="169"/>
    <x v="5"/>
    <x v="169"/>
    <x v="1"/>
    <x v="0"/>
    <x v="11"/>
  </r>
  <r>
    <s v="ORD-10181"/>
    <d v="2023-12-03T00:00:00"/>
    <x v="10"/>
    <x v="9"/>
    <x v="19"/>
    <x v="1"/>
    <x v="11"/>
    <x v="11"/>
    <x v="170"/>
    <x v="2"/>
    <x v="170"/>
    <x v="0"/>
    <x v="0"/>
    <x v="11"/>
  </r>
  <r>
    <s v="ORD-10244"/>
    <d v="2023-12-03T00:00:00"/>
    <x v="0"/>
    <x v="6"/>
    <x v="21"/>
    <x v="2"/>
    <x v="12"/>
    <x v="12"/>
    <x v="171"/>
    <x v="7"/>
    <x v="171"/>
    <x v="1"/>
    <x v="0"/>
    <x v="11"/>
  </r>
  <r>
    <s v="ORD-10582"/>
    <d v="2023-12-03T00:00:00"/>
    <x v="7"/>
    <x v="1"/>
    <x v="1"/>
    <x v="1"/>
    <x v="11"/>
    <x v="11"/>
    <x v="172"/>
    <x v="5"/>
    <x v="172"/>
    <x v="1"/>
    <x v="0"/>
    <x v="11"/>
  </r>
  <r>
    <s v="ORD-10015"/>
    <d v="2023-12-05T00:00:00"/>
    <x v="10"/>
    <x v="9"/>
    <x v="19"/>
    <x v="1"/>
    <x v="3"/>
    <x v="22"/>
    <x v="173"/>
    <x v="3"/>
    <x v="173"/>
    <x v="0"/>
    <x v="0"/>
    <x v="11"/>
  </r>
  <r>
    <s v="ORD-10229"/>
    <d v="2023-12-08T00:00:00"/>
    <x v="11"/>
    <x v="2"/>
    <x v="6"/>
    <x v="0"/>
    <x v="7"/>
    <x v="25"/>
    <x v="174"/>
    <x v="2"/>
    <x v="174"/>
    <x v="1"/>
    <x v="0"/>
    <x v="11"/>
  </r>
  <r>
    <s v="ORD-10254"/>
    <d v="2023-12-08T00:00:00"/>
    <x v="3"/>
    <x v="1"/>
    <x v="1"/>
    <x v="2"/>
    <x v="13"/>
    <x v="19"/>
    <x v="175"/>
    <x v="3"/>
    <x v="175"/>
    <x v="0"/>
    <x v="0"/>
    <x v="11"/>
  </r>
  <r>
    <s v="ORD-10372"/>
    <d v="2023-12-10T00:00:00"/>
    <x v="19"/>
    <x v="3"/>
    <x v="20"/>
    <x v="1"/>
    <x v="3"/>
    <x v="22"/>
    <x v="176"/>
    <x v="5"/>
    <x v="176"/>
    <x v="0"/>
    <x v="0"/>
    <x v="11"/>
  </r>
  <r>
    <s v="ORD-10359"/>
    <d v="2023-12-12T00:00:00"/>
    <x v="18"/>
    <x v="2"/>
    <x v="2"/>
    <x v="2"/>
    <x v="13"/>
    <x v="15"/>
    <x v="177"/>
    <x v="1"/>
    <x v="177"/>
    <x v="0"/>
    <x v="0"/>
    <x v="11"/>
  </r>
  <r>
    <s v="ORD-10039"/>
    <d v="2023-12-14T00:00:00"/>
    <x v="11"/>
    <x v="1"/>
    <x v="1"/>
    <x v="0"/>
    <x v="1"/>
    <x v="1"/>
    <x v="178"/>
    <x v="3"/>
    <x v="178"/>
    <x v="0"/>
    <x v="0"/>
    <x v="11"/>
  </r>
  <r>
    <s v="ORD-10461"/>
    <d v="2023-12-16T00:00:00"/>
    <x v="8"/>
    <x v="5"/>
    <x v="25"/>
    <x v="1"/>
    <x v="6"/>
    <x v="6"/>
    <x v="179"/>
    <x v="7"/>
    <x v="179"/>
    <x v="0"/>
    <x v="0"/>
    <x v="11"/>
  </r>
  <r>
    <s v="ORD-10152"/>
    <d v="2023-12-17T00:00:00"/>
    <x v="13"/>
    <x v="7"/>
    <x v="14"/>
    <x v="2"/>
    <x v="9"/>
    <x v="28"/>
    <x v="180"/>
    <x v="2"/>
    <x v="180"/>
    <x v="2"/>
    <x v="0"/>
    <x v="11"/>
  </r>
  <r>
    <s v="ORD-10534"/>
    <d v="2023-12-17T00:00:00"/>
    <x v="9"/>
    <x v="7"/>
    <x v="15"/>
    <x v="1"/>
    <x v="6"/>
    <x v="6"/>
    <x v="181"/>
    <x v="1"/>
    <x v="181"/>
    <x v="0"/>
    <x v="0"/>
    <x v="11"/>
  </r>
  <r>
    <s v="ORD-10248"/>
    <d v="2023-12-20T00:00:00"/>
    <x v="12"/>
    <x v="0"/>
    <x v="3"/>
    <x v="1"/>
    <x v="6"/>
    <x v="6"/>
    <x v="182"/>
    <x v="6"/>
    <x v="182"/>
    <x v="1"/>
    <x v="0"/>
    <x v="11"/>
  </r>
  <r>
    <s v="ORD-10302"/>
    <d v="2023-12-21T00:00:00"/>
    <x v="5"/>
    <x v="5"/>
    <x v="13"/>
    <x v="2"/>
    <x v="9"/>
    <x v="9"/>
    <x v="183"/>
    <x v="2"/>
    <x v="183"/>
    <x v="2"/>
    <x v="0"/>
    <x v="11"/>
  </r>
  <r>
    <s v="ORD-10298"/>
    <d v="2023-12-22T00:00:00"/>
    <x v="2"/>
    <x v="9"/>
    <x v="24"/>
    <x v="2"/>
    <x v="4"/>
    <x v="4"/>
    <x v="184"/>
    <x v="7"/>
    <x v="184"/>
    <x v="0"/>
    <x v="0"/>
    <x v="11"/>
  </r>
  <r>
    <s v="ORD-10476"/>
    <d v="2023-12-25T00:00:00"/>
    <x v="0"/>
    <x v="4"/>
    <x v="9"/>
    <x v="0"/>
    <x v="8"/>
    <x v="13"/>
    <x v="185"/>
    <x v="5"/>
    <x v="185"/>
    <x v="0"/>
    <x v="0"/>
    <x v="11"/>
  </r>
  <r>
    <s v="ORD-10558"/>
    <d v="2023-12-25T00:00:00"/>
    <x v="19"/>
    <x v="9"/>
    <x v="18"/>
    <x v="0"/>
    <x v="1"/>
    <x v="27"/>
    <x v="186"/>
    <x v="1"/>
    <x v="186"/>
    <x v="2"/>
    <x v="0"/>
    <x v="11"/>
  </r>
  <r>
    <s v="ORD-10176"/>
    <d v="2023-12-26T00:00:00"/>
    <x v="15"/>
    <x v="6"/>
    <x v="23"/>
    <x v="2"/>
    <x v="13"/>
    <x v="15"/>
    <x v="187"/>
    <x v="0"/>
    <x v="187"/>
    <x v="2"/>
    <x v="0"/>
    <x v="11"/>
  </r>
  <r>
    <s v="ORD-10396"/>
    <d v="2023-12-28T00:00:00"/>
    <x v="1"/>
    <x v="4"/>
    <x v="5"/>
    <x v="2"/>
    <x v="12"/>
    <x v="16"/>
    <x v="188"/>
    <x v="7"/>
    <x v="188"/>
    <x v="1"/>
    <x v="0"/>
    <x v="11"/>
  </r>
  <r>
    <s v="ORD-10455"/>
    <d v="2023-12-29T00:00:00"/>
    <x v="13"/>
    <x v="4"/>
    <x v="12"/>
    <x v="2"/>
    <x v="12"/>
    <x v="12"/>
    <x v="189"/>
    <x v="4"/>
    <x v="189"/>
    <x v="1"/>
    <x v="0"/>
    <x v="0"/>
  </r>
  <r>
    <s v="ORD-10083"/>
    <d v="2024-01-04T00:00:00"/>
    <x v="3"/>
    <x v="0"/>
    <x v="3"/>
    <x v="1"/>
    <x v="3"/>
    <x v="22"/>
    <x v="190"/>
    <x v="1"/>
    <x v="190"/>
    <x v="0"/>
    <x v="1"/>
    <x v="0"/>
  </r>
  <r>
    <s v="ORD-10469"/>
    <d v="2024-01-04T00:00:00"/>
    <x v="9"/>
    <x v="6"/>
    <x v="21"/>
    <x v="2"/>
    <x v="4"/>
    <x v="14"/>
    <x v="191"/>
    <x v="3"/>
    <x v="191"/>
    <x v="2"/>
    <x v="1"/>
    <x v="0"/>
  </r>
  <r>
    <s v="ORD-10125"/>
    <d v="2024-01-06T00:00:00"/>
    <x v="3"/>
    <x v="0"/>
    <x v="0"/>
    <x v="1"/>
    <x v="6"/>
    <x v="18"/>
    <x v="192"/>
    <x v="2"/>
    <x v="192"/>
    <x v="2"/>
    <x v="1"/>
    <x v="0"/>
  </r>
  <r>
    <s v="ORD-10325"/>
    <d v="2024-01-07T00:00:00"/>
    <x v="15"/>
    <x v="8"/>
    <x v="17"/>
    <x v="1"/>
    <x v="6"/>
    <x v="6"/>
    <x v="193"/>
    <x v="3"/>
    <x v="193"/>
    <x v="2"/>
    <x v="1"/>
    <x v="0"/>
  </r>
  <r>
    <s v="ORD-10228"/>
    <d v="2024-01-10T00:00:00"/>
    <x v="6"/>
    <x v="6"/>
    <x v="8"/>
    <x v="1"/>
    <x v="3"/>
    <x v="3"/>
    <x v="194"/>
    <x v="4"/>
    <x v="194"/>
    <x v="0"/>
    <x v="1"/>
    <x v="0"/>
  </r>
  <r>
    <s v="ORD-10394"/>
    <d v="2024-01-12T00:00:00"/>
    <x v="7"/>
    <x v="4"/>
    <x v="9"/>
    <x v="0"/>
    <x v="2"/>
    <x v="2"/>
    <x v="195"/>
    <x v="6"/>
    <x v="195"/>
    <x v="1"/>
    <x v="1"/>
    <x v="0"/>
  </r>
  <r>
    <s v="ORD-10575"/>
    <d v="2024-01-22T00:00:00"/>
    <x v="1"/>
    <x v="1"/>
    <x v="11"/>
    <x v="2"/>
    <x v="4"/>
    <x v="14"/>
    <x v="196"/>
    <x v="1"/>
    <x v="196"/>
    <x v="0"/>
    <x v="1"/>
    <x v="0"/>
  </r>
  <r>
    <s v="ORD-10095"/>
    <d v="2024-01-24T00:00:00"/>
    <x v="19"/>
    <x v="5"/>
    <x v="25"/>
    <x v="0"/>
    <x v="0"/>
    <x v="23"/>
    <x v="197"/>
    <x v="5"/>
    <x v="197"/>
    <x v="0"/>
    <x v="1"/>
    <x v="0"/>
  </r>
  <r>
    <s v="ORD-10420"/>
    <d v="2024-01-24T00:00:00"/>
    <x v="3"/>
    <x v="1"/>
    <x v="22"/>
    <x v="0"/>
    <x v="2"/>
    <x v="2"/>
    <x v="198"/>
    <x v="3"/>
    <x v="198"/>
    <x v="2"/>
    <x v="1"/>
    <x v="0"/>
  </r>
  <r>
    <s v="ORD-10194"/>
    <d v="2024-01-25T00:00:00"/>
    <x v="1"/>
    <x v="1"/>
    <x v="11"/>
    <x v="0"/>
    <x v="8"/>
    <x v="13"/>
    <x v="199"/>
    <x v="0"/>
    <x v="199"/>
    <x v="0"/>
    <x v="1"/>
    <x v="0"/>
  </r>
  <r>
    <s v="ORD-10389"/>
    <d v="2024-01-25T00:00:00"/>
    <x v="2"/>
    <x v="1"/>
    <x v="1"/>
    <x v="0"/>
    <x v="7"/>
    <x v="25"/>
    <x v="200"/>
    <x v="2"/>
    <x v="200"/>
    <x v="1"/>
    <x v="1"/>
    <x v="0"/>
  </r>
  <r>
    <s v="ORD-10175"/>
    <d v="2024-01-30T00:00:00"/>
    <x v="18"/>
    <x v="5"/>
    <x v="25"/>
    <x v="0"/>
    <x v="7"/>
    <x v="25"/>
    <x v="201"/>
    <x v="5"/>
    <x v="201"/>
    <x v="0"/>
    <x v="1"/>
    <x v="0"/>
  </r>
  <r>
    <s v="ORD-10419"/>
    <d v="2024-01-31T00:00:00"/>
    <x v="15"/>
    <x v="6"/>
    <x v="8"/>
    <x v="1"/>
    <x v="10"/>
    <x v="24"/>
    <x v="202"/>
    <x v="3"/>
    <x v="202"/>
    <x v="0"/>
    <x v="1"/>
    <x v="0"/>
  </r>
  <r>
    <s v="ORD-10454"/>
    <d v="2024-01-31T00:00:00"/>
    <x v="4"/>
    <x v="6"/>
    <x v="8"/>
    <x v="0"/>
    <x v="5"/>
    <x v="5"/>
    <x v="203"/>
    <x v="2"/>
    <x v="203"/>
    <x v="0"/>
    <x v="1"/>
    <x v="1"/>
  </r>
  <r>
    <s v="ORD-10472"/>
    <d v="2024-02-02T00:00:00"/>
    <x v="18"/>
    <x v="0"/>
    <x v="3"/>
    <x v="0"/>
    <x v="1"/>
    <x v="1"/>
    <x v="204"/>
    <x v="2"/>
    <x v="204"/>
    <x v="0"/>
    <x v="1"/>
    <x v="1"/>
  </r>
  <r>
    <s v="ORD-10230"/>
    <d v="2024-02-04T00:00:00"/>
    <x v="17"/>
    <x v="2"/>
    <x v="2"/>
    <x v="0"/>
    <x v="0"/>
    <x v="23"/>
    <x v="205"/>
    <x v="2"/>
    <x v="205"/>
    <x v="1"/>
    <x v="1"/>
    <x v="1"/>
  </r>
  <r>
    <s v="ORD-10508"/>
    <d v="2024-02-04T00:00:00"/>
    <x v="18"/>
    <x v="7"/>
    <x v="14"/>
    <x v="2"/>
    <x v="4"/>
    <x v="14"/>
    <x v="206"/>
    <x v="0"/>
    <x v="206"/>
    <x v="2"/>
    <x v="1"/>
    <x v="1"/>
  </r>
  <r>
    <s v="ORD-10197"/>
    <d v="2024-02-06T00:00:00"/>
    <x v="9"/>
    <x v="8"/>
    <x v="27"/>
    <x v="2"/>
    <x v="4"/>
    <x v="14"/>
    <x v="207"/>
    <x v="2"/>
    <x v="207"/>
    <x v="0"/>
    <x v="1"/>
    <x v="1"/>
  </r>
  <r>
    <s v="ORD-10052"/>
    <d v="2024-02-11T00:00:00"/>
    <x v="8"/>
    <x v="9"/>
    <x v="19"/>
    <x v="1"/>
    <x v="10"/>
    <x v="24"/>
    <x v="208"/>
    <x v="1"/>
    <x v="208"/>
    <x v="0"/>
    <x v="1"/>
    <x v="1"/>
  </r>
  <r>
    <s v="ORD-10003"/>
    <d v="2024-02-12T00:00:00"/>
    <x v="7"/>
    <x v="8"/>
    <x v="17"/>
    <x v="1"/>
    <x v="3"/>
    <x v="22"/>
    <x v="209"/>
    <x v="7"/>
    <x v="209"/>
    <x v="2"/>
    <x v="1"/>
    <x v="1"/>
  </r>
  <r>
    <s v="ORD-10258"/>
    <d v="2024-02-15T00:00:00"/>
    <x v="8"/>
    <x v="0"/>
    <x v="10"/>
    <x v="2"/>
    <x v="4"/>
    <x v="4"/>
    <x v="210"/>
    <x v="6"/>
    <x v="210"/>
    <x v="0"/>
    <x v="1"/>
    <x v="1"/>
  </r>
  <r>
    <s v="ORD-10337"/>
    <d v="2024-02-16T00:00:00"/>
    <x v="13"/>
    <x v="6"/>
    <x v="8"/>
    <x v="2"/>
    <x v="13"/>
    <x v="15"/>
    <x v="211"/>
    <x v="0"/>
    <x v="211"/>
    <x v="0"/>
    <x v="1"/>
    <x v="1"/>
  </r>
  <r>
    <s v="ORD-10137"/>
    <d v="2024-02-17T00:00:00"/>
    <x v="2"/>
    <x v="6"/>
    <x v="23"/>
    <x v="2"/>
    <x v="4"/>
    <x v="4"/>
    <x v="212"/>
    <x v="5"/>
    <x v="212"/>
    <x v="0"/>
    <x v="1"/>
    <x v="1"/>
  </r>
  <r>
    <s v="ORD-10260"/>
    <d v="2024-02-25T00:00:00"/>
    <x v="9"/>
    <x v="0"/>
    <x v="10"/>
    <x v="2"/>
    <x v="4"/>
    <x v="14"/>
    <x v="213"/>
    <x v="4"/>
    <x v="213"/>
    <x v="2"/>
    <x v="1"/>
    <x v="1"/>
  </r>
  <r>
    <s v="ORD-10350"/>
    <d v="2024-02-26T00:00:00"/>
    <x v="7"/>
    <x v="9"/>
    <x v="18"/>
    <x v="2"/>
    <x v="12"/>
    <x v="16"/>
    <x v="214"/>
    <x v="4"/>
    <x v="214"/>
    <x v="2"/>
    <x v="1"/>
    <x v="1"/>
  </r>
  <r>
    <s v="ORD-10187"/>
    <d v="2024-02-27T00:00:00"/>
    <x v="16"/>
    <x v="9"/>
    <x v="18"/>
    <x v="2"/>
    <x v="4"/>
    <x v="4"/>
    <x v="215"/>
    <x v="0"/>
    <x v="215"/>
    <x v="0"/>
    <x v="1"/>
    <x v="2"/>
  </r>
  <r>
    <s v="ORD-10297"/>
    <d v="2024-03-08T00:00:00"/>
    <x v="1"/>
    <x v="3"/>
    <x v="20"/>
    <x v="2"/>
    <x v="9"/>
    <x v="28"/>
    <x v="216"/>
    <x v="3"/>
    <x v="216"/>
    <x v="1"/>
    <x v="1"/>
    <x v="2"/>
  </r>
  <r>
    <s v="ORD-10056"/>
    <d v="2024-03-10T00:00:00"/>
    <x v="14"/>
    <x v="0"/>
    <x v="10"/>
    <x v="0"/>
    <x v="8"/>
    <x v="13"/>
    <x v="217"/>
    <x v="3"/>
    <x v="217"/>
    <x v="0"/>
    <x v="1"/>
    <x v="2"/>
  </r>
  <r>
    <s v="ORD-10592"/>
    <d v="2024-03-12T00:00:00"/>
    <x v="14"/>
    <x v="5"/>
    <x v="13"/>
    <x v="1"/>
    <x v="3"/>
    <x v="22"/>
    <x v="218"/>
    <x v="3"/>
    <x v="218"/>
    <x v="1"/>
    <x v="1"/>
    <x v="2"/>
  </r>
  <r>
    <s v="ORD-10301"/>
    <d v="2024-03-14T00:00:00"/>
    <x v="9"/>
    <x v="9"/>
    <x v="24"/>
    <x v="1"/>
    <x v="6"/>
    <x v="18"/>
    <x v="219"/>
    <x v="2"/>
    <x v="219"/>
    <x v="0"/>
    <x v="1"/>
    <x v="2"/>
  </r>
  <r>
    <s v="ORD-10599"/>
    <d v="2024-03-14T00:00:00"/>
    <x v="19"/>
    <x v="4"/>
    <x v="9"/>
    <x v="1"/>
    <x v="3"/>
    <x v="21"/>
    <x v="220"/>
    <x v="2"/>
    <x v="220"/>
    <x v="0"/>
    <x v="1"/>
    <x v="2"/>
  </r>
  <r>
    <s v="ORD-10556"/>
    <d v="2024-03-17T00:00:00"/>
    <x v="7"/>
    <x v="7"/>
    <x v="26"/>
    <x v="0"/>
    <x v="8"/>
    <x v="8"/>
    <x v="221"/>
    <x v="4"/>
    <x v="221"/>
    <x v="1"/>
    <x v="1"/>
    <x v="2"/>
  </r>
  <r>
    <s v="ORD-10371"/>
    <d v="2024-03-19T00:00:00"/>
    <x v="13"/>
    <x v="2"/>
    <x v="16"/>
    <x v="2"/>
    <x v="9"/>
    <x v="9"/>
    <x v="222"/>
    <x v="4"/>
    <x v="222"/>
    <x v="1"/>
    <x v="1"/>
    <x v="2"/>
  </r>
  <r>
    <s v="ORD-10535"/>
    <d v="2024-03-19T00:00:00"/>
    <x v="1"/>
    <x v="2"/>
    <x v="16"/>
    <x v="1"/>
    <x v="11"/>
    <x v="17"/>
    <x v="223"/>
    <x v="3"/>
    <x v="223"/>
    <x v="2"/>
    <x v="1"/>
    <x v="2"/>
  </r>
  <r>
    <s v="ORD-10094"/>
    <d v="2024-03-20T00:00:00"/>
    <x v="19"/>
    <x v="1"/>
    <x v="22"/>
    <x v="0"/>
    <x v="8"/>
    <x v="13"/>
    <x v="224"/>
    <x v="6"/>
    <x v="224"/>
    <x v="1"/>
    <x v="1"/>
    <x v="2"/>
  </r>
  <r>
    <s v="ORD-10188"/>
    <d v="2024-03-20T00:00:00"/>
    <x v="6"/>
    <x v="4"/>
    <x v="12"/>
    <x v="1"/>
    <x v="6"/>
    <x v="6"/>
    <x v="225"/>
    <x v="0"/>
    <x v="225"/>
    <x v="0"/>
    <x v="1"/>
    <x v="2"/>
  </r>
  <r>
    <s v="ORD-10183"/>
    <d v="2024-03-22T00:00:00"/>
    <x v="12"/>
    <x v="7"/>
    <x v="14"/>
    <x v="1"/>
    <x v="6"/>
    <x v="6"/>
    <x v="226"/>
    <x v="7"/>
    <x v="226"/>
    <x v="2"/>
    <x v="1"/>
    <x v="2"/>
  </r>
  <r>
    <s v="ORD-10303"/>
    <d v="2024-03-22T00:00:00"/>
    <x v="11"/>
    <x v="7"/>
    <x v="26"/>
    <x v="0"/>
    <x v="8"/>
    <x v="8"/>
    <x v="227"/>
    <x v="5"/>
    <x v="227"/>
    <x v="1"/>
    <x v="1"/>
    <x v="2"/>
  </r>
  <r>
    <s v="ORD-10180"/>
    <d v="2024-03-23T00:00:00"/>
    <x v="13"/>
    <x v="1"/>
    <x v="22"/>
    <x v="2"/>
    <x v="13"/>
    <x v="15"/>
    <x v="228"/>
    <x v="3"/>
    <x v="228"/>
    <x v="0"/>
    <x v="1"/>
    <x v="2"/>
  </r>
  <r>
    <s v="ORD-10087"/>
    <d v="2024-03-24T00:00:00"/>
    <x v="13"/>
    <x v="2"/>
    <x v="16"/>
    <x v="0"/>
    <x v="8"/>
    <x v="13"/>
    <x v="229"/>
    <x v="6"/>
    <x v="229"/>
    <x v="0"/>
    <x v="1"/>
    <x v="2"/>
  </r>
  <r>
    <s v="ORD-10273"/>
    <d v="2024-03-25T00:00:00"/>
    <x v="15"/>
    <x v="6"/>
    <x v="23"/>
    <x v="1"/>
    <x v="3"/>
    <x v="3"/>
    <x v="230"/>
    <x v="7"/>
    <x v="230"/>
    <x v="2"/>
    <x v="1"/>
    <x v="2"/>
  </r>
  <r>
    <s v="ORD-10110"/>
    <d v="2024-03-27T00:00:00"/>
    <x v="13"/>
    <x v="9"/>
    <x v="24"/>
    <x v="2"/>
    <x v="4"/>
    <x v="14"/>
    <x v="231"/>
    <x v="7"/>
    <x v="231"/>
    <x v="1"/>
    <x v="1"/>
    <x v="2"/>
  </r>
  <r>
    <s v="ORD-10279"/>
    <d v="2024-03-28T00:00:00"/>
    <x v="16"/>
    <x v="2"/>
    <x v="6"/>
    <x v="2"/>
    <x v="9"/>
    <x v="28"/>
    <x v="232"/>
    <x v="6"/>
    <x v="232"/>
    <x v="2"/>
    <x v="1"/>
    <x v="2"/>
  </r>
  <r>
    <s v="ORD-10425"/>
    <d v="2024-03-28T00:00:00"/>
    <x v="12"/>
    <x v="1"/>
    <x v="22"/>
    <x v="2"/>
    <x v="13"/>
    <x v="19"/>
    <x v="233"/>
    <x v="6"/>
    <x v="233"/>
    <x v="2"/>
    <x v="1"/>
    <x v="2"/>
  </r>
  <r>
    <s v="ORD-10346"/>
    <d v="2024-03-29T00:00:00"/>
    <x v="18"/>
    <x v="3"/>
    <x v="20"/>
    <x v="2"/>
    <x v="4"/>
    <x v="4"/>
    <x v="234"/>
    <x v="6"/>
    <x v="234"/>
    <x v="0"/>
    <x v="1"/>
    <x v="2"/>
  </r>
  <r>
    <s v="ORD-10220"/>
    <d v="2024-03-30T00:00:00"/>
    <x v="10"/>
    <x v="0"/>
    <x v="3"/>
    <x v="1"/>
    <x v="11"/>
    <x v="11"/>
    <x v="235"/>
    <x v="5"/>
    <x v="235"/>
    <x v="2"/>
    <x v="1"/>
    <x v="3"/>
  </r>
  <r>
    <s v="ORD-10342"/>
    <d v="2024-04-06T00:00:00"/>
    <x v="8"/>
    <x v="5"/>
    <x v="13"/>
    <x v="1"/>
    <x v="10"/>
    <x v="10"/>
    <x v="236"/>
    <x v="3"/>
    <x v="236"/>
    <x v="0"/>
    <x v="1"/>
    <x v="3"/>
  </r>
  <r>
    <s v="ORD-10542"/>
    <d v="2024-04-06T00:00:00"/>
    <x v="0"/>
    <x v="6"/>
    <x v="8"/>
    <x v="1"/>
    <x v="11"/>
    <x v="17"/>
    <x v="237"/>
    <x v="0"/>
    <x v="237"/>
    <x v="0"/>
    <x v="1"/>
    <x v="3"/>
  </r>
  <r>
    <s v="ORD-10124"/>
    <d v="2024-04-08T00:00:00"/>
    <x v="6"/>
    <x v="7"/>
    <x v="15"/>
    <x v="1"/>
    <x v="10"/>
    <x v="24"/>
    <x v="238"/>
    <x v="0"/>
    <x v="238"/>
    <x v="0"/>
    <x v="1"/>
    <x v="3"/>
  </r>
  <r>
    <s v="ORD-10406"/>
    <d v="2024-04-10T00:00:00"/>
    <x v="19"/>
    <x v="5"/>
    <x v="25"/>
    <x v="2"/>
    <x v="13"/>
    <x v="15"/>
    <x v="239"/>
    <x v="3"/>
    <x v="239"/>
    <x v="0"/>
    <x v="1"/>
    <x v="3"/>
  </r>
  <r>
    <s v="ORD-10102"/>
    <d v="2024-04-12T00:00:00"/>
    <x v="18"/>
    <x v="9"/>
    <x v="19"/>
    <x v="2"/>
    <x v="12"/>
    <x v="16"/>
    <x v="240"/>
    <x v="3"/>
    <x v="240"/>
    <x v="1"/>
    <x v="1"/>
    <x v="3"/>
  </r>
  <r>
    <s v="ORD-10395"/>
    <d v="2024-04-13T00:00:00"/>
    <x v="14"/>
    <x v="0"/>
    <x v="3"/>
    <x v="0"/>
    <x v="5"/>
    <x v="5"/>
    <x v="241"/>
    <x v="2"/>
    <x v="241"/>
    <x v="0"/>
    <x v="1"/>
    <x v="3"/>
  </r>
  <r>
    <s v="ORD-10008"/>
    <d v="2024-04-14T00:00:00"/>
    <x v="18"/>
    <x v="3"/>
    <x v="4"/>
    <x v="2"/>
    <x v="12"/>
    <x v="16"/>
    <x v="242"/>
    <x v="7"/>
    <x v="242"/>
    <x v="0"/>
    <x v="1"/>
    <x v="3"/>
  </r>
  <r>
    <s v="ORD-10186"/>
    <d v="2024-04-15T00:00:00"/>
    <x v="19"/>
    <x v="8"/>
    <x v="17"/>
    <x v="0"/>
    <x v="5"/>
    <x v="20"/>
    <x v="243"/>
    <x v="1"/>
    <x v="243"/>
    <x v="0"/>
    <x v="1"/>
    <x v="3"/>
  </r>
  <r>
    <s v="ORD-10224"/>
    <d v="2024-04-19T00:00:00"/>
    <x v="3"/>
    <x v="5"/>
    <x v="13"/>
    <x v="0"/>
    <x v="2"/>
    <x v="2"/>
    <x v="244"/>
    <x v="3"/>
    <x v="244"/>
    <x v="1"/>
    <x v="1"/>
    <x v="3"/>
  </r>
  <r>
    <s v="ORD-10173"/>
    <d v="2024-04-20T00:00:00"/>
    <x v="4"/>
    <x v="7"/>
    <x v="26"/>
    <x v="0"/>
    <x v="1"/>
    <x v="1"/>
    <x v="245"/>
    <x v="4"/>
    <x v="245"/>
    <x v="2"/>
    <x v="1"/>
    <x v="3"/>
  </r>
  <r>
    <s v="ORD-10412"/>
    <d v="2024-04-21T00:00:00"/>
    <x v="6"/>
    <x v="9"/>
    <x v="24"/>
    <x v="0"/>
    <x v="7"/>
    <x v="25"/>
    <x v="246"/>
    <x v="7"/>
    <x v="246"/>
    <x v="0"/>
    <x v="1"/>
    <x v="3"/>
  </r>
  <r>
    <s v="ORD-10091"/>
    <d v="2024-04-23T00:00:00"/>
    <x v="5"/>
    <x v="7"/>
    <x v="14"/>
    <x v="0"/>
    <x v="1"/>
    <x v="27"/>
    <x v="247"/>
    <x v="4"/>
    <x v="247"/>
    <x v="1"/>
    <x v="1"/>
    <x v="3"/>
  </r>
  <r>
    <s v="ORD-10447"/>
    <d v="2024-04-28T00:00:00"/>
    <x v="14"/>
    <x v="8"/>
    <x v="27"/>
    <x v="2"/>
    <x v="13"/>
    <x v="15"/>
    <x v="248"/>
    <x v="5"/>
    <x v="248"/>
    <x v="2"/>
    <x v="1"/>
    <x v="3"/>
  </r>
  <r>
    <s v="ORD-10262"/>
    <d v="2024-04-29T00:00:00"/>
    <x v="14"/>
    <x v="3"/>
    <x v="28"/>
    <x v="2"/>
    <x v="9"/>
    <x v="9"/>
    <x v="249"/>
    <x v="2"/>
    <x v="249"/>
    <x v="0"/>
    <x v="1"/>
    <x v="4"/>
  </r>
  <r>
    <s v="ORD-10132"/>
    <d v="2024-05-03T00:00:00"/>
    <x v="13"/>
    <x v="9"/>
    <x v="24"/>
    <x v="1"/>
    <x v="10"/>
    <x v="10"/>
    <x v="250"/>
    <x v="7"/>
    <x v="250"/>
    <x v="1"/>
    <x v="1"/>
    <x v="4"/>
  </r>
  <r>
    <s v="ORD-10363"/>
    <d v="2024-05-04T00:00:00"/>
    <x v="3"/>
    <x v="5"/>
    <x v="25"/>
    <x v="1"/>
    <x v="6"/>
    <x v="6"/>
    <x v="251"/>
    <x v="7"/>
    <x v="251"/>
    <x v="2"/>
    <x v="1"/>
    <x v="4"/>
  </r>
  <r>
    <s v="ORD-10422"/>
    <d v="2024-05-04T00:00:00"/>
    <x v="12"/>
    <x v="5"/>
    <x v="7"/>
    <x v="2"/>
    <x v="12"/>
    <x v="12"/>
    <x v="252"/>
    <x v="6"/>
    <x v="252"/>
    <x v="0"/>
    <x v="1"/>
    <x v="4"/>
  </r>
  <r>
    <s v="ORD-10191"/>
    <d v="2024-05-08T00:00:00"/>
    <x v="11"/>
    <x v="3"/>
    <x v="28"/>
    <x v="0"/>
    <x v="5"/>
    <x v="5"/>
    <x v="253"/>
    <x v="3"/>
    <x v="253"/>
    <x v="0"/>
    <x v="1"/>
    <x v="4"/>
  </r>
  <r>
    <s v="ORD-10171"/>
    <d v="2024-05-11T00:00:00"/>
    <x v="10"/>
    <x v="5"/>
    <x v="25"/>
    <x v="0"/>
    <x v="7"/>
    <x v="7"/>
    <x v="254"/>
    <x v="0"/>
    <x v="254"/>
    <x v="0"/>
    <x v="1"/>
    <x v="4"/>
  </r>
  <r>
    <s v="ORD-10192"/>
    <d v="2024-05-12T00:00:00"/>
    <x v="2"/>
    <x v="5"/>
    <x v="7"/>
    <x v="0"/>
    <x v="2"/>
    <x v="26"/>
    <x v="255"/>
    <x v="1"/>
    <x v="255"/>
    <x v="0"/>
    <x v="1"/>
    <x v="4"/>
  </r>
  <r>
    <s v="ORD-10058"/>
    <d v="2024-05-13T00:00:00"/>
    <x v="8"/>
    <x v="1"/>
    <x v="11"/>
    <x v="1"/>
    <x v="10"/>
    <x v="10"/>
    <x v="256"/>
    <x v="1"/>
    <x v="256"/>
    <x v="0"/>
    <x v="1"/>
    <x v="4"/>
  </r>
  <r>
    <s v="ORD-10255"/>
    <d v="2024-05-15T00:00:00"/>
    <x v="1"/>
    <x v="4"/>
    <x v="12"/>
    <x v="2"/>
    <x v="9"/>
    <x v="28"/>
    <x v="257"/>
    <x v="7"/>
    <x v="257"/>
    <x v="0"/>
    <x v="1"/>
    <x v="4"/>
  </r>
  <r>
    <s v="ORD-10050"/>
    <d v="2024-05-21T00:00:00"/>
    <x v="5"/>
    <x v="0"/>
    <x v="10"/>
    <x v="2"/>
    <x v="9"/>
    <x v="28"/>
    <x v="258"/>
    <x v="7"/>
    <x v="258"/>
    <x v="0"/>
    <x v="1"/>
    <x v="4"/>
  </r>
  <r>
    <s v="ORD-10236"/>
    <d v="2024-05-21T00:00:00"/>
    <x v="1"/>
    <x v="6"/>
    <x v="21"/>
    <x v="1"/>
    <x v="3"/>
    <x v="21"/>
    <x v="259"/>
    <x v="6"/>
    <x v="259"/>
    <x v="1"/>
    <x v="1"/>
    <x v="4"/>
  </r>
  <r>
    <s v="ORD-10446"/>
    <d v="2024-05-21T00:00:00"/>
    <x v="11"/>
    <x v="6"/>
    <x v="23"/>
    <x v="2"/>
    <x v="4"/>
    <x v="4"/>
    <x v="260"/>
    <x v="7"/>
    <x v="260"/>
    <x v="2"/>
    <x v="1"/>
    <x v="4"/>
  </r>
  <r>
    <s v="ORD-10120"/>
    <d v="2024-05-22T00:00:00"/>
    <x v="19"/>
    <x v="9"/>
    <x v="24"/>
    <x v="2"/>
    <x v="9"/>
    <x v="28"/>
    <x v="261"/>
    <x v="7"/>
    <x v="261"/>
    <x v="1"/>
    <x v="1"/>
    <x v="4"/>
  </r>
  <r>
    <s v="ORD-10219"/>
    <d v="2024-05-23T00:00:00"/>
    <x v="3"/>
    <x v="5"/>
    <x v="13"/>
    <x v="0"/>
    <x v="1"/>
    <x v="1"/>
    <x v="262"/>
    <x v="4"/>
    <x v="262"/>
    <x v="0"/>
    <x v="1"/>
    <x v="4"/>
  </r>
  <r>
    <s v="ORD-10256"/>
    <d v="2024-05-23T00:00:00"/>
    <x v="18"/>
    <x v="8"/>
    <x v="29"/>
    <x v="2"/>
    <x v="4"/>
    <x v="4"/>
    <x v="263"/>
    <x v="6"/>
    <x v="263"/>
    <x v="1"/>
    <x v="1"/>
    <x v="4"/>
  </r>
  <r>
    <s v="ORD-10336"/>
    <d v="2024-05-23T00:00:00"/>
    <x v="15"/>
    <x v="2"/>
    <x v="16"/>
    <x v="0"/>
    <x v="2"/>
    <x v="2"/>
    <x v="264"/>
    <x v="1"/>
    <x v="264"/>
    <x v="0"/>
    <x v="1"/>
    <x v="4"/>
  </r>
  <r>
    <s v="ORD-10266"/>
    <d v="2024-05-26T00:00:00"/>
    <x v="19"/>
    <x v="7"/>
    <x v="26"/>
    <x v="1"/>
    <x v="11"/>
    <x v="17"/>
    <x v="265"/>
    <x v="3"/>
    <x v="265"/>
    <x v="0"/>
    <x v="1"/>
    <x v="4"/>
  </r>
  <r>
    <s v="ORD-10069"/>
    <d v="2024-05-27T00:00:00"/>
    <x v="12"/>
    <x v="1"/>
    <x v="11"/>
    <x v="2"/>
    <x v="9"/>
    <x v="9"/>
    <x v="266"/>
    <x v="6"/>
    <x v="266"/>
    <x v="0"/>
    <x v="1"/>
    <x v="4"/>
  </r>
  <r>
    <s v="ORD-10085"/>
    <d v="2024-05-27T00:00:00"/>
    <x v="11"/>
    <x v="9"/>
    <x v="24"/>
    <x v="0"/>
    <x v="2"/>
    <x v="2"/>
    <x v="267"/>
    <x v="1"/>
    <x v="267"/>
    <x v="1"/>
    <x v="1"/>
    <x v="4"/>
  </r>
  <r>
    <s v="ORD-10097"/>
    <d v="2024-05-28T00:00:00"/>
    <x v="16"/>
    <x v="6"/>
    <x v="21"/>
    <x v="1"/>
    <x v="10"/>
    <x v="10"/>
    <x v="268"/>
    <x v="2"/>
    <x v="268"/>
    <x v="0"/>
    <x v="1"/>
    <x v="4"/>
  </r>
  <r>
    <s v="ORD-10402"/>
    <d v="2024-05-30T00:00:00"/>
    <x v="2"/>
    <x v="3"/>
    <x v="28"/>
    <x v="1"/>
    <x v="11"/>
    <x v="11"/>
    <x v="269"/>
    <x v="0"/>
    <x v="269"/>
    <x v="0"/>
    <x v="1"/>
    <x v="5"/>
  </r>
  <r>
    <s v="ORD-10569"/>
    <d v="2024-06-02T00:00:00"/>
    <x v="12"/>
    <x v="4"/>
    <x v="5"/>
    <x v="1"/>
    <x v="11"/>
    <x v="17"/>
    <x v="270"/>
    <x v="4"/>
    <x v="270"/>
    <x v="0"/>
    <x v="1"/>
    <x v="5"/>
  </r>
  <r>
    <s v="ORD-10601"/>
    <d v="2024-06-02T00:00:00"/>
    <x v="15"/>
    <x v="0"/>
    <x v="3"/>
    <x v="1"/>
    <x v="11"/>
    <x v="11"/>
    <x v="271"/>
    <x v="0"/>
    <x v="271"/>
    <x v="2"/>
    <x v="1"/>
    <x v="5"/>
  </r>
  <r>
    <s v="ORD-10348"/>
    <d v="2024-06-09T00:00:00"/>
    <x v="11"/>
    <x v="8"/>
    <x v="29"/>
    <x v="0"/>
    <x v="5"/>
    <x v="5"/>
    <x v="272"/>
    <x v="1"/>
    <x v="272"/>
    <x v="2"/>
    <x v="1"/>
    <x v="5"/>
  </r>
  <r>
    <s v="ORD-10089"/>
    <d v="2024-06-10T00:00:00"/>
    <x v="11"/>
    <x v="6"/>
    <x v="21"/>
    <x v="0"/>
    <x v="2"/>
    <x v="2"/>
    <x v="273"/>
    <x v="2"/>
    <x v="273"/>
    <x v="1"/>
    <x v="1"/>
    <x v="5"/>
  </r>
  <r>
    <s v="ORD-10398"/>
    <d v="2024-06-11T00:00:00"/>
    <x v="5"/>
    <x v="1"/>
    <x v="22"/>
    <x v="0"/>
    <x v="8"/>
    <x v="8"/>
    <x v="274"/>
    <x v="6"/>
    <x v="274"/>
    <x v="0"/>
    <x v="1"/>
    <x v="5"/>
  </r>
  <r>
    <s v="ORD-10145"/>
    <d v="2024-06-17T00:00:00"/>
    <x v="2"/>
    <x v="1"/>
    <x v="22"/>
    <x v="0"/>
    <x v="2"/>
    <x v="26"/>
    <x v="275"/>
    <x v="5"/>
    <x v="275"/>
    <x v="1"/>
    <x v="1"/>
    <x v="5"/>
  </r>
  <r>
    <s v="ORD-10503"/>
    <d v="2024-06-19T00:00:00"/>
    <x v="1"/>
    <x v="2"/>
    <x v="16"/>
    <x v="1"/>
    <x v="6"/>
    <x v="6"/>
    <x v="276"/>
    <x v="2"/>
    <x v="276"/>
    <x v="0"/>
    <x v="1"/>
    <x v="5"/>
  </r>
  <r>
    <s v="ORD-10409"/>
    <d v="2024-06-22T00:00:00"/>
    <x v="7"/>
    <x v="6"/>
    <x v="21"/>
    <x v="2"/>
    <x v="4"/>
    <x v="14"/>
    <x v="277"/>
    <x v="0"/>
    <x v="277"/>
    <x v="0"/>
    <x v="1"/>
    <x v="5"/>
  </r>
  <r>
    <s v="ORD-10288"/>
    <d v="2024-06-23T00:00:00"/>
    <x v="14"/>
    <x v="6"/>
    <x v="8"/>
    <x v="1"/>
    <x v="10"/>
    <x v="24"/>
    <x v="278"/>
    <x v="3"/>
    <x v="278"/>
    <x v="0"/>
    <x v="1"/>
    <x v="5"/>
  </r>
  <r>
    <s v="ORD-10294"/>
    <d v="2024-06-24T00:00:00"/>
    <x v="1"/>
    <x v="2"/>
    <x v="2"/>
    <x v="0"/>
    <x v="2"/>
    <x v="2"/>
    <x v="279"/>
    <x v="1"/>
    <x v="279"/>
    <x v="1"/>
    <x v="1"/>
    <x v="5"/>
  </r>
  <r>
    <s v="ORD-10065"/>
    <d v="2024-06-25T00:00:00"/>
    <x v="3"/>
    <x v="2"/>
    <x v="16"/>
    <x v="1"/>
    <x v="3"/>
    <x v="22"/>
    <x v="280"/>
    <x v="0"/>
    <x v="280"/>
    <x v="0"/>
    <x v="1"/>
    <x v="5"/>
  </r>
  <r>
    <s v="ORD-10159"/>
    <d v="2024-06-25T00:00:00"/>
    <x v="15"/>
    <x v="7"/>
    <x v="14"/>
    <x v="1"/>
    <x v="11"/>
    <x v="17"/>
    <x v="281"/>
    <x v="2"/>
    <x v="281"/>
    <x v="0"/>
    <x v="1"/>
    <x v="5"/>
  </r>
  <r>
    <s v="ORD-10098"/>
    <d v="2024-06-27T00:00:00"/>
    <x v="6"/>
    <x v="0"/>
    <x v="10"/>
    <x v="2"/>
    <x v="13"/>
    <x v="19"/>
    <x v="282"/>
    <x v="2"/>
    <x v="282"/>
    <x v="0"/>
    <x v="1"/>
    <x v="5"/>
  </r>
  <r>
    <s v="ORD-10164"/>
    <d v="2024-06-27T00:00:00"/>
    <x v="8"/>
    <x v="3"/>
    <x v="20"/>
    <x v="0"/>
    <x v="1"/>
    <x v="1"/>
    <x v="283"/>
    <x v="3"/>
    <x v="283"/>
    <x v="2"/>
    <x v="1"/>
    <x v="5"/>
  </r>
  <r>
    <s v="ORD-10439"/>
    <d v="2024-06-29T00:00:00"/>
    <x v="18"/>
    <x v="5"/>
    <x v="25"/>
    <x v="2"/>
    <x v="12"/>
    <x v="12"/>
    <x v="284"/>
    <x v="4"/>
    <x v="284"/>
    <x v="1"/>
    <x v="1"/>
    <x v="5"/>
  </r>
  <r>
    <s v="ORD-10032"/>
    <d v="2024-06-30T00:00:00"/>
    <x v="16"/>
    <x v="8"/>
    <x v="17"/>
    <x v="2"/>
    <x v="13"/>
    <x v="15"/>
    <x v="285"/>
    <x v="0"/>
    <x v="285"/>
    <x v="0"/>
    <x v="1"/>
    <x v="6"/>
  </r>
  <r>
    <s v="ORD-10106"/>
    <d v="2024-07-01T00:00:00"/>
    <x v="3"/>
    <x v="9"/>
    <x v="24"/>
    <x v="2"/>
    <x v="12"/>
    <x v="16"/>
    <x v="286"/>
    <x v="7"/>
    <x v="286"/>
    <x v="0"/>
    <x v="1"/>
    <x v="6"/>
  </r>
  <r>
    <s v="ORD-10235"/>
    <d v="2024-07-01T00:00:00"/>
    <x v="16"/>
    <x v="2"/>
    <x v="16"/>
    <x v="1"/>
    <x v="10"/>
    <x v="24"/>
    <x v="287"/>
    <x v="5"/>
    <x v="287"/>
    <x v="2"/>
    <x v="1"/>
    <x v="6"/>
  </r>
  <r>
    <s v="ORD-10401"/>
    <d v="2024-07-01T00:00:00"/>
    <x v="15"/>
    <x v="6"/>
    <x v="8"/>
    <x v="1"/>
    <x v="10"/>
    <x v="24"/>
    <x v="288"/>
    <x v="5"/>
    <x v="288"/>
    <x v="2"/>
    <x v="1"/>
    <x v="6"/>
  </r>
  <r>
    <s v="ORD-10232"/>
    <d v="2024-07-02T00:00:00"/>
    <x v="0"/>
    <x v="6"/>
    <x v="8"/>
    <x v="2"/>
    <x v="4"/>
    <x v="4"/>
    <x v="289"/>
    <x v="4"/>
    <x v="289"/>
    <x v="2"/>
    <x v="1"/>
    <x v="6"/>
  </r>
  <r>
    <s v="ORD-10212"/>
    <d v="2024-07-04T00:00:00"/>
    <x v="14"/>
    <x v="2"/>
    <x v="16"/>
    <x v="1"/>
    <x v="6"/>
    <x v="18"/>
    <x v="290"/>
    <x v="2"/>
    <x v="290"/>
    <x v="0"/>
    <x v="1"/>
    <x v="6"/>
  </r>
  <r>
    <s v="ORD-10059"/>
    <d v="2024-07-08T00:00:00"/>
    <x v="14"/>
    <x v="3"/>
    <x v="20"/>
    <x v="2"/>
    <x v="13"/>
    <x v="15"/>
    <x v="291"/>
    <x v="3"/>
    <x v="291"/>
    <x v="0"/>
    <x v="1"/>
    <x v="6"/>
  </r>
  <r>
    <s v="ORD-10044"/>
    <d v="2024-07-10T00:00:00"/>
    <x v="18"/>
    <x v="4"/>
    <x v="9"/>
    <x v="0"/>
    <x v="0"/>
    <x v="23"/>
    <x v="292"/>
    <x v="0"/>
    <x v="292"/>
    <x v="0"/>
    <x v="1"/>
    <x v="6"/>
  </r>
  <r>
    <s v="ORD-10502"/>
    <d v="2024-07-17T00:00:00"/>
    <x v="5"/>
    <x v="5"/>
    <x v="13"/>
    <x v="0"/>
    <x v="8"/>
    <x v="13"/>
    <x v="293"/>
    <x v="5"/>
    <x v="293"/>
    <x v="0"/>
    <x v="1"/>
    <x v="6"/>
  </r>
  <r>
    <s v="ORD-10076"/>
    <d v="2024-07-19T00:00:00"/>
    <x v="18"/>
    <x v="5"/>
    <x v="13"/>
    <x v="0"/>
    <x v="7"/>
    <x v="7"/>
    <x v="294"/>
    <x v="4"/>
    <x v="294"/>
    <x v="1"/>
    <x v="1"/>
    <x v="6"/>
  </r>
  <r>
    <s v="ORD-10596"/>
    <d v="2024-07-22T00:00:00"/>
    <x v="3"/>
    <x v="4"/>
    <x v="5"/>
    <x v="0"/>
    <x v="7"/>
    <x v="7"/>
    <x v="295"/>
    <x v="5"/>
    <x v="295"/>
    <x v="2"/>
    <x v="1"/>
    <x v="6"/>
  </r>
  <r>
    <s v="ORD-10049"/>
    <d v="2024-07-23T00:00:00"/>
    <x v="14"/>
    <x v="0"/>
    <x v="10"/>
    <x v="0"/>
    <x v="8"/>
    <x v="8"/>
    <x v="296"/>
    <x v="1"/>
    <x v="296"/>
    <x v="1"/>
    <x v="1"/>
    <x v="6"/>
  </r>
  <r>
    <s v="ORD-10070"/>
    <d v="2024-07-23T00:00:00"/>
    <x v="8"/>
    <x v="7"/>
    <x v="14"/>
    <x v="1"/>
    <x v="3"/>
    <x v="3"/>
    <x v="297"/>
    <x v="3"/>
    <x v="297"/>
    <x v="0"/>
    <x v="1"/>
    <x v="6"/>
  </r>
  <r>
    <s v="ORD-10464"/>
    <d v="2024-07-23T00:00:00"/>
    <x v="17"/>
    <x v="1"/>
    <x v="1"/>
    <x v="0"/>
    <x v="0"/>
    <x v="0"/>
    <x v="298"/>
    <x v="0"/>
    <x v="298"/>
    <x v="2"/>
    <x v="1"/>
    <x v="7"/>
  </r>
  <r>
    <s v="ORD-10246"/>
    <d v="2024-08-06T00:00:00"/>
    <x v="11"/>
    <x v="0"/>
    <x v="10"/>
    <x v="1"/>
    <x v="10"/>
    <x v="10"/>
    <x v="299"/>
    <x v="0"/>
    <x v="299"/>
    <x v="0"/>
    <x v="1"/>
    <x v="7"/>
  </r>
  <r>
    <s v="ORD-10118"/>
    <d v="2024-08-10T00:00:00"/>
    <x v="12"/>
    <x v="7"/>
    <x v="26"/>
    <x v="0"/>
    <x v="0"/>
    <x v="0"/>
    <x v="300"/>
    <x v="6"/>
    <x v="300"/>
    <x v="0"/>
    <x v="1"/>
    <x v="7"/>
  </r>
  <r>
    <s v="ORD-10407"/>
    <d v="2024-08-10T00:00:00"/>
    <x v="17"/>
    <x v="6"/>
    <x v="8"/>
    <x v="1"/>
    <x v="11"/>
    <x v="11"/>
    <x v="301"/>
    <x v="6"/>
    <x v="301"/>
    <x v="1"/>
    <x v="1"/>
    <x v="7"/>
  </r>
  <r>
    <s v="ORD-10594"/>
    <d v="2024-08-10T00:00:00"/>
    <x v="14"/>
    <x v="0"/>
    <x v="10"/>
    <x v="2"/>
    <x v="12"/>
    <x v="16"/>
    <x v="302"/>
    <x v="5"/>
    <x v="302"/>
    <x v="0"/>
    <x v="1"/>
    <x v="7"/>
  </r>
  <r>
    <s v="ORD-10388"/>
    <d v="2024-08-11T00:00:00"/>
    <x v="15"/>
    <x v="0"/>
    <x v="0"/>
    <x v="2"/>
    <x v="9"/>
    <x v="9"/>
    <x v="303"/>
    <x v="0"/>
    <x v="303"/>
    <x v="0"/>
    <x v="1"/>
    <x v="7"/>
  </r>
  <r>
    <s v="ORD-10468"/>
    <d v="2024-08-11T00:00:00"/>
    <x v="13"/>
    <x v="4"/>
    <x v="12"/>
    <x v="1"/>
    <x v="11"/>
    <x v="11"/>
    <x v="304"/>
    <x v="3"/>
    <x v="304"/>
    <x v="1"/>
    <x v="1"/>
    <x v="7"/>
  </r>
  <r>
    <s v="ORD-10589"/>
    <d v="2024-08-11T00:00:00"/>
    <x v="4"/>
    <x v="0"/>
    <x v="3"/>
    <x v="1"/>
    <x v="6"/>
    <x v="18"/>
    <x v="305"/>
    <x v="0"/>
    <x v="305"/>
    <x v="0"/>
    <x v="1"/>
    <x v="7"/>
  </r>
  <r>
    <s v="ORD-10548"/>
    <d v="2024-08-13T00:00:00"/>
    <x v="6"/>
    <x v="7"/>
    <x v="15"/>
    <x v="0"/>
    <x v="7"/>
    <x v="25"/>
    <x v="306"/>
    <x v="6"/>
    <x v="306"/>
    <x v="0"/>
    <x v="1"/>
    <x v="7"/>
  </r>
  <r>
    <s v="ORD-10006"/>
    <d v="2024-08-15T00:00:00"/>
    <x v="9"/>
    <x v="2"/>
    <x v="2"/>
    <x v="2"/>
    <x v="9"/>
    <x v="28"/>
    <x v="307"/>
    <x v="0"/>
    <x v="307"/>
    <x v="0"/>
    <x v="1"/>
    <x v="7"/>
  </r>
  <r>
    <s v="ORD-10500"/>
    <d v="2024-08-15T00:00:00"/>
    <x v="4"/>
    <x v="2"/>
    <x v="16"/>
    <x v="0"/>
    <x v="5"/>
    <x v="20"/>
    <x v="308"/>
    <x v="5"/>
    <x v="308"/>
    <x v="0"/>
    <x v="1"/>
    <x v="7"/>
  </r>
  <r>
    <s v="ORD-10563"/>
    <d v="2024-08-16T00:00:00"/>
    <x v="10"/>
    <x v="8"/>
    <x v="27"/>
    <x v="0"/>
    <x v="5"/>
    <x v="20"/>
    <x v="309"/>
    <x v="7"/>
    <x v="309"/>
    <x v="0"/>
    <x v="1"/>
    <x v="7"/>
  </r>
  <r>
    <s v="ORD-10322"/>
    <d v="2024-08-18T00:00:00"/>
    <x v="18"/>
    <x v="7"/>
    <x v="26"/>
    <x v="1"/>
    <x v="11"/>
    <x v="11"/>
    <x v="310"/>
    <x v="7"/>
    <x v="310"/>
    <x v="0"/>
    <x v="1"/>
    <x v="7"/>
  </r>
  <r>
    <s v="ORD-10357"/>
    <d v="2024-08-18T00:00:00"/>
    <x v="14"/>
    <x v="4"/>
    <x v="5"/>
    <x v="1"/>
    <x v="11"/>
    <x v="17"/>
    <x v="311"/>
    <x v="4"/>
    <x v="311"/>
    <x v="0"/>
    <x v="1"/>
    <x v="7"/>
  </r>
  <r>
    <s v="ORD-10133"/>
    <d v="2024-08-19T00:00:00"/>
    <x v="5"/>
    <x v="2"/>
    <x v="16"/>
    <x v="1"/>
    <x v="3"/>
    <x v="22"/>
    <x v="312"/>
    <x v="2"/>
    <x v="312"/>
    <x v="1"/>
    <x v="1"/>
    <x v="7"/>
  </r>
  <r>
    <s v="ORD-10217"/>
    <d v="2024-08-19T00:00:00"/>
    <x v="7"/>
    <x v="5"/>
    <x v="13"/>
    <x v="2"/>
    <x v="4"/>
    <x v="4"/>
    <x v="313"/>
    <x v="3"/>
    <x v="313"/>
    <x v="0"/>
    <x v="1"/>
    <x v="7"/>
  </r>
  <r>
    <s v="ORD-10501"/>
    <d v="2024-08-20T00:00:00"/>
    <x v="5"/>
    <x v="2"/>
    <x v="6"/>
    <x v="1"/>
    <x v="6"/>
    <x v="18"/>
    <x v="314"/>
    <x v="7"/>
    <x v="314"/>
    <x v="2"/>
    <x v="1"/>
    <x v="7"/>
  </r>
  <r>
    <s v="ORD-10012"/>
    <d v="2024-08-24T00:00:00"/>
    <x v="3"/>
    <x v="9"/>
    <x v="19"/>
    <x v="2"/>
    <x v="13"/>
    <x v="15"/>
    <x v="315"/>
    <x v="4"/>
    <x v="315"/>
    <x v="1"/>
    <x v="1"/>
    <x v="7"/>
  </r>
  <r>
    <s v="ORD-10340"/>
    <d v="2024-08-27T00:00:00"/>
    <x v="17"/>
    <x v="6"/>
    <x v="8"/>
    <x v="2"/>
    <x v="13"/>
    <x v="19"/>
    <x v="316"/>
    <x v="7"/>
    <x v="316"/>
    <x v="0"/>
    <x v="1"/>
    <x v="7"/>
  </r>
  <r>
    <s v="ORD-10037"/>
    <d v="2024-08-28T00:00:00"/>
    <x v="6"/>
    <x v="5"/>
    <x v="7"/>
    <x v="2"/>
    <x v="4"/>
    <x v="14"/>
    <x v="317"/>
    <x v="1"/>
    <x v="317"/>
    <x v="2"/>
    <x v="1"/>
    <x v="8"/>
  </r>
  <r>
    <s v="ORD-10168"/>
    <d v="2024-09-03T00:00:00"/>
    <x v="11"/>
    <x v="7"/>
    <x v="14"/>
    <x v="0"/>
    <x v="7"/>
    <x v="7"/>
    <x v="318"/>
    <x v="5"/>
    <x v="318"/>
    <x v="0"/>
    <x v="1"/>
    <x v="8"/>
  </r>
  <r>
    <s v="ORD-10174"/>
    <d v="2024-09-03T00:00:00"/>
    <x v="13"/>
    <x v="3"/>
    <x v="4"/>
    <x v="1"/>
    <x v="10"/>
    <x v="10"/>
    <x v="319"/>
    <x v="7"/>
    <x v="319"/>
    <x v="2"/>
    <x v="1"/>
    <x v="8"/>
  </r>
  <r>
    <s v="ORD-10465"/>
    <d v="2024-09-03T00:00:00"/>
    <x v="12"/>
    <x v="8"/>
    <x v="29"/>
    <x v="0"/>
    <x v="0"/>
    <x v="0"/>
    <x v="320"/>
    <x v="7"/>
    <x v="320"/>
    <x v="0"/>
    <x v="1"/>
    <x v="8"/>
  </r>
  <r>
    <s v="ORD-10082"/>
    <d v="2024-09-05T00:00:00"/>
    <x v="4"/>
    <x v="3"/>
    <x v="28"/>
    <x v="2"/>
    <x v="9"/>
    <x v="9"/>
    <x v="321"/>
    <x v="2"/>
    <x v="321"/>
    <x v="0"/>
    <x v="1"/>
    <x v="8"/>
  </r>
  <r>
    <s v="ORD-10163"/>
    <d v="2024-09-05T00:00:00"/>
    <x v="5"/>
    <x v="6"/>
    <x v="8"/>
    <x v="2"/>
    <x v="13"/>
    <x v="15"/>
    <x v="322"/>
    <x v="3"/>
    <x v="322"/>
    <x v="1"/>
    <x v="1"/>
    <x v="8"/>
  </r>
  <r>
    <s v="ORD-10431"/>
    <d v="2024-09-07T00:00:00"/>
    <x v="2"/>
    <x v="7"/>
    <x v="14"/>
    <x v="1"/>
    <x v="3"/>
    <x v="3"/>
    <x v="323"/>
    <x v="7"/>
    <x v="323"/>
    <x v="0"/>
    <x v="1"/>
    <x v="8"/>
  </r>
  <r>
    <s v="ORD-10318"/>
    <d v="2024-09-08T00:00:00"/>
    <x v="16"/>
    <x v="1"/>
    <x v="22"/>
    <x v="1"/>
    <x v="3"/>
    <x v="22"/>
    <x v="324"/>
    <x v="7"/>
    <x v="324"/>
    <x v="1"/>
    <x v="1"/>
    <x v="8"/>
  </r>
  <r>
    <s v="ORD-10564"/>
    <d v="2024-09-08T00:00:00"/>
    <x v="0"/>
    <x v="6"/>
    <x v="23"/>
    <x v="2"/>
    <x v="12"/>
    <x v="16"/>
    <x v="325"/>
    <x v="6"/>
    <x v="325"/>
    <x v="0"/>
    <x v="1"/>
    <x v="8"/>
  </r>
  <r>
    <s v="ORD-10277"/>
    <d v="2024-09-10T00:00:00"/>
    <x v="6"/>
    <x v="9"/>
    <x v="24"/>
    <x v="2"/>
    <x v="4"/>
    <x v="4"/>
    <x v="326"/>
    <x v="6"/>
    <x v="326"/>
    <x v="0"/>
    <x v="1"/>
    <x v="8"/>
  </r>
  <r>
    <s v="ORD-10559"/>
    <d v="2024-09-10T00:00:00"/>
    <x v="11"/>
    <x v="6"/>
    <x v="8"/>
    <x v="0"/>
    <x v="2"/>
    <x v="2"/>
    <x v="327"/>
    <x v="7"/>
    <x v="327"/>
    <x v="2"/>
    <x v="1"/>
    <x v="8"/>
  </r>
  <r>
    <s v="ORD-10117"/>
    <d v="2024-09-12T00:00:00"/>
    <x v="8"/>
    <x v="0"/>
    <x v="10"/>
    <x v="0"/>
    <x v="0"/>
    <x v="23"/>
    <x v="328"/>
    <x v="3"/>
    <x v="328"/>
    <x v="0"/>
    <x v="1"/>
    <x v="8"/>
  </r>
  <r>
    <s v="ORD-10557"/>
    <d v="2024-09-13T00:00:00"/>
    <x v="10"/>
    <x v="3"/>
    <x v="28"/>
    <x v="2"/>
    <x v="9"/>
    <x v="28"/>
    <x v="329"/>
    <x v="0"/>
    <x v="329"/>
    <x v="1"/>
    <x v="1"/>
    <x v="8"/>
  </r>
  <r>
    <s v="ORD-10038"/>
    <d v="2024-09-14T00:00:00"/>
    <x v="2"/>
    <x v="6"/>
    <x v="21"/>
    <x v="2"/>
    <x v="13"/>
    <x v="15"/>
    <x v="330"/>
    <x v="7"/>
    <x v="330"/>
    <x v="0"/>
    <x v="1"/>
    <x v="8"/>
  </r>
  <r>
    <s v="ORD-10567"/>
    <d v="2024-09-15T00:00:00"/>
    <x v="16"/>
    <x v="0"/>
    <x v="10"/>
    <x v="0"/>
    <x v="2"/>
    <x v="2"/>
    <x v="331"/>
    <x v="2"/>
    <x v="331"/>
    <x v="0"/>
    <x v="1"/>
    <x v="8"/>
  </r>
  <r>
    <s v="ORD-10471"/>
    <d v="2024-09-22T00:00:00"/>
    <x v="10"/>
    <x v="8"/>
    <x v="29"/>
    <x v="1"/>
    <x v="10"/>
    <x v="24"/>
    <x v="332"/>
    <x v="4"/>
    <x v="332"/>
    <x v="0"/>
    <x v="1"/>
    <x v="8"/>
  </r>
  <r>
    <s v="ORD-10475"/>
    <d v="2024-09-23T00:00:00"/>
    <x v="4"/>
    <x v="5"/>
    <x v="13"/>
    <x v="2"/>
    <x v="4"/>
    <x v="4"/>
    <x v="333"/>
    <x v="4"/>
    <x v="333"/>
    <x v="0"/>
    <x v="1"/>
    <x v="8"/>
  </r>
  <r>
    <s v="ORD-10484"/>
    <d v="2024-09-27T00:00:00"/>
    <x v="1"/>
    <x v="2"/>
    <x v="2"/>
    <x v="1"/>
    <x v="6"/>
    <x v="18"/>
    <x v="334"/>
    <x v="3"/>
    <x v="334"/>
    <x v="1"/>
    <x v="1"/>
    <x v="8"/>
  </r>
  <r>
    <s v="ORD-10595"/>
    <d v="2024-09-27T00:00:00"/>
    <x v="1"/>
    <x v="4"/>
    <x v="5"/>
    <x v="1"/>
    <x v="3"/>
    <x v="21"/>
    <x v="335"/>
    <x v="0"/>
    <x v="335"/>
    <x v="1"/>
    <x v="1"/>
    <x v="8"/>
  </r>
  <r>
    <s v="ORD-10074"/>
    <d v="2024-09-28T00:00:00"/>
    <x v="5"/>
    <x v="1"/>
    <x v="11"/>
    <x v="1"/>
    <x v="3"/>
    <x v="22"/>
    <x v="336"/>
    <x v="2"/>
    <x v="336"/>
    <x v="2"/>
    <x v="1"/>
    <x v="9"/>
  </r>
  <r>
    <s v="ORD-10591"/>
    <d v="2024-10-03T00:00:00"/>
    <x v="7"/>
    <x v="9"/>
    <x v="19"/>
    <x v="0"/>
    <x v="2"/>
    <x v="2"/>
    <x v="337"/>
    <x v="1"/>
    <x v="337"/>
    <x v="0"/>
    <x v="1"/>
    <x v="9"/>
  </r>
  <r>
    <s v="ORD-10167"/>
    <d v="2024-10-04T00:00:00"/>
    <x v="19"/>
    <x v="5"/>
    <x v="13"/>
    <x v="2"/>
    <x v="13"/>
    <x v="15"/>
    <x v="338"/>
    <x v="1"/>
    <x v="338"/>
    <x v="0"/>
    <x v="1"/>
    <x v="9"/>
  </r>
  <r>
    <s v="ORD-10144"/>
    <d v="2024-10-05T00:00:00"/>
    <x v="9"/>
    <x v="1"/>
    <x v="11"/>
    <x v="2"/>
    <x v="12"/>
    <x v="16"/>
    <x v="339"/>
    <x v="1"/>
    <x v="339"/>
    <x v="0"/>
    <x v="1"/>
    <x v="9"/>
  </r>
  <r>
    <s v="ORD-10215"/>
    <d v="2024-10-05T00:00:00"/>
    <x v="15"/>
    <x v="2"/>
    <x v="2"/>
    <x v="0"/>
    <x v="8"/>
    <x v="13"/>
    <x v="340"/>
    <x v="3"/>
    <x v="340"/>
    <x v="0"/>
    <x v="1"/>
    <x v="9"/>
  </r>
  <r>
    <s v="ORD-10573"/>
    <d v="2024-10-05T00:00:00"/>
    <x v="19"/>
    <x v="3"/>
    <x v="4"/>
    <x v="1"/>
    <x v="3"/>
    <x v="3"/>
    <x v="341"/>
    <x v="4"/>
    <x v="341"/>
    <x v="0"/>
    <x v="1"/>
    <x v="9"/>
  </r>
  <r>
    <s v="ORD-10205"/>
    <d v="2024-10-06T00:00:00"/>
    <x v="2"/>
    <x v="8"/>
    <x v="17"/>
    <x v="2"/>
    <x v="13"/>
    <x v="19"/>
    <x v="342"/>
    <x v="2"/>
    <x v="342"/>
    <x v="0"/>
    <x v="1"/>
    <x v="9"/>
  </r>
  <r>
    <s v="ORD-10429"/>
    <d v="2024-10-07T00:00:00"/>
    <x v="18"/>
    <x v="5"/>
    <x v="7"/>
    <x v="2"/>
    <x v="12"/>
    <x v="16"/>
    <x v="343"/>
    <x v="6"/>
    <x v="343"/>
    <x v="2"/>
    <x v="1"/>
    <x v="9"/>
  </r>
  <r>
    <s v="ORD-10352"/>
    <d v="2024-10-09T00:00:00"/>
    <x v="15"/>
    <x v="7"/>
    <x v="26"/>
    <x v="0"/>
    <x v="5"/>
    <x v="20"/>
    <x v="344"/>
    <x v="1"/>
    <x v="344"/>
    <x v="0"/>
    <x v="1"/>
    <x v="9"/>
  </r>
  <r>
    <s v="ORD-10209"/>
    <d v="2024-10-10T00:00:00"/>
    <x v="16"/>
    <x v="9"/>
    <x v="24"/>
    <x v="1"/>
    <x v="6"/>
    <x v="18"/>
    <x v="345"/>
    <x v="1"/>
    <x v="345"/>
    <x v="0"/>
    <x v="1"/>
    <x v="9"/>
  </r>
  <r>
    <s v="ORD-10491"/>
    <d v="2024-10-10T00:00:00"/>
    <x v="8"/>
    <x v="3"/>
    <x v="20"/>
    <x v="2"/>
    <x v="4"/>
    <x v="4"/>
    <x v="346"/>
    <x v="0"/>
    <x v="346"/>
    <x v="0"/>
    <x v="1"/>
    <x v="9"/>
  </r>
  <r>
    <s v="ORD-10149"/>
    <d v="2024-10-11T00:00:00"/>
    <x v="19"/>
    <x v="5"/>
    <x v="7"/>
    <x v="0"/>
    <x v="2"/>
    <x v="26"/>
    <x v="347"/>
    <x v="2"/>
    <x v="347"/>
    <x v="0"/>
    <x v="1"/>
    <x v="9"/>
  </r>
  <r>
    <s v="ORD-10550"/>
    <d v="2024-10-11T00:00:00"/>
    <x v="6"/>
    <x v="1"/>
    <x v="1"/>
    <x v="0"/>
    <x v="7"/>
    <x v="7"/>
    <x v="348"/>
    <x v="7"/>
    <x v="348"/>
    <x v="0"/>
    <x v="1"/>
    <x v="9"/>
  </r>
  <r>
    <s v="ORD-10345"/>
    <d v="2024-10-12T00:00:00"/>
    <x v="9"/>
    <x v="2"/>
    <x v="16"/>
    <x v="0"/>
    <x v="5"/>
    <x v="20"/>
    <x v="349"/>
    <x v="4"/>
    <x v="349"/>
    <x v="2"/>
    <x v="1"/>
    <x v="9"/>
  </r>
  <r>
    <s v="ORD-10493"/>
    <d v="2024-10-13T00:00:00"/>
    <x v="15"/>
    <x v="9"/>
    <x v="24"/>
    <x v="1"/>
    <x v="3"/>
    <x v="3"/>
    <x v="350"/>
    <x v="1"/>
    <x v="350"/>
    <x v="1"/>
    <x v="1"/>
    <x v="9"/>
  </r>
  <r>
    <s v="ORD-10130"/>
    <d v="2024-10-14T00:00:00"/>
    <x v="18"/>
    <x v="4"/>
    <x v="9"/>
    <x v="1"/>
    <x v="10"/>
    <x v="10"/>
    <x v="351"/>
    <x v="7"/>
    <x v="351"/>
    <x v="0"/>
    <x v="1"/>
    <x v="9"/>
  </r>
  <r>
    <s v="ORD-10481"/>
    <d v="2024-10-14T00:00:00"/>
    <x v="6"/>
    <x v="8"/>
    <x v="29"/>
    <x v="2"/>
    <x v="9"/>
    <x v="28"/>
    <x v="352"/>
    <x v="6"/>
    <x v="352"/>
    <x v="0"/>
    <x v="1"/>
    <x v="9"/>
  </r>
  <r>
    <s v="ORD-10411"/>
    <d v="2024-10-18T00:00:00"/>
    <x v="6"/>
    <x v="2"/>
    <x v="6"/>
    <x v="0"/>
    <x v="1"/>
    <x v="27"/>
    <x v="353"/>
    <x v="0"/>
    <x v="353"/>
    <x v="0"/>
    <x v="1"/>
    <x v="9"/>
  </r>
  <r>
    <s v="ORD-10119"/>
    <d v="2024-10-20T00:00:00"/>
    <x v="1"/>
    <x v="1"/>
    <x v="22"/>
    <x v="2"/>
    <x v="9"/>
    <x v="9"/>
    <x v="354"/>
    <x v="0"/>
    <x v="354"/>
    <x v="2"/>
    <x v="1"/>
    <x v="9"/>
  </r>
  <r>
    <s v="ORD-10423"/>
    <d v="2024-10-22T00:00:00"/>
    <x v="18"/>
    <x v="5"/>
    <x v="25"/>
    <x v="0"/>
    <x v="2"/>
    <x v="26"/>
    <x v="355"/>
    <x v="5"/>
    <x v="355"/>
    <x v="1"/>
    <x v="1"/>
    <x v="9"/>
  </r>
  <r>
    <s v="ORD-10177"/>
    <d v="2024-10-24T00:00:00"/>
    <x v="5"/>
    <x v="3"/>
    <x v="20"/>
    <x v="1"/>
    <x v="3"/>
    <x v="21"/>
    <x v="356"/>
    <x v="3"/>
    <x v="356"/>
    <x v="0"/>
    <x v="1"/>
    <x v="9"/>
  </r>
  <r>
    <s v="ORD-10459"/>
    <d v="2024-10-24T00:00:00"/>
    <x v="5"/>
    <x v="6"/>
    <x v="21"/>
    <x v="2"/>
    <x v="12"/>
    <x v="16"/>
    <x v="357"/>
    <x v="1"/>
    <x v="357"/>
    <x v="1"/>
    <x v="1"/>
    <x v="9"/>
  </r>
  <r>
    <s v="ORD-10399"/>
    <d v="2024-10-27T00:00:00"/>
    <x v="1"/>
    <x v="2"/>
    <x v="16"/>
    <x v="2"/>
    <x v="12"/>
    <x v="16"/>
    <x v="358"/>
    <x v="6"/>
    <x v="358"/>
    <x v="2"/>
    <x v="1"/>
    <x v="9"/>
  </r>
  <r>
    <s v="ORD-10393"/>
    <d v="2024-10-28T00:00:00"/>
    <x v="13"/>
    <x v="8"/>
    <x v="17"/>
    <x v="2"/>
    <x v="12"/>
    <x v="16"/>
    <x v="359"/>
    <x v="4"/>
    <x v="359"/>
    <x v="0"/>
    <x v="1"/>
    <x v="9"/>
  </r>
  <r>
    <s v="ORD-10531"/>
    <d v="2024-10-29T00:00:00"/>
    <x v="16"/>
    <x v="1"/>
    <x v="22"/>
    <x v="2"/>
    <x v="13"/>
    <x v="15"/>
    <x v="360"/>
    <x v="0"/>
    <x v="360"/>
    <x v="0"/>
    <x v="1"/>
    <x v="9"/>
  </r>
  <r>
    <s v="ORD-10250"/>
    <d v="2024-10-31T00:00:00"/>
    <x v="8"/>
    <x v="7"/>
    <x v="15"/>
    <x v="0"/>
    <x v="0"/>
    <x v="0"/>
    <x v="361"/>
    <x v="2"/>
    <x v="361"/>
    <x v="1"/>
    <x v="1"/>
    <x v="10"/>
  </r>
  <r>
    <s v="ORD-10574"/>
    <d v="2024-11-02T00:00:00"/>
    <x v="16"/>
    <x v="0"/>
    <x v="0"/>
    <x v="0"/>
    <x v="2"/>
    <x v="26"/>
    <x v="362"/>
    <x v="4"/>
    <x v="362"/>
    <x v="1"/>
    <x v="1"/>
    <x v="10"/>
  </r>
  <r>
    <s v="ORD-10449"/>
    <d v="2024-11-05T00:00:00"/>
    <x v="17"/>
    <x v="3"/>
    <x v="28"/>
    <x v="2"/>
    <x v="12"/>
    <x v="16"/>
    <x v="363"/>
    <x v="5"/>
    <x v="363"/>
    <x v="1"/>
    <x v="1"/>
    <x v="10"/>
  </r>
  <r>
    <s v="ORD-10071"/>
    <d v="2024-11-06T00:00:00"/>
    <x v="1"/>
    <x v="0"/>
    <x v="3"/>
    <x v="0"/>
    <x v="8"/>
    <x v="13"/>
    <x v="364"/>
    <x v="2"/>
    <x v="364"/>
    <x v="1"/>
    <x v="1"/>
    <x v="10"/>
  </r>
  <r>
    <s v="ORD-10104"/>
    <d v="2024-11-06T00:00:00"/>
    <x v="7"/>
    <x v="9"/>
    <x v="19"/>
    <x v="2"/>
    <x v="13"/>
    <x v="19"/>
    <x v="365"/>
    <x v="7"/>
    <x v="365"/>
    <x v="0"/>
    <x v="1"/>
    <x v="10"/>
  </r>
  <r>
    <s v="ORD-10515"/>
    <d v="2024-11-06T00:00:00"/>
    <x v="8"/>
    <x v="8"/>
    <x v="17"/>
    <x v="2"/>
    <x v="4"/>
    <x v="14"/>
    <x v="366"/>
    <x v="2"/>
    <x v="366"/>
    <x v="1"/>
    <x v="1"/>
    <x v="10"/>
  </r>
  <r>
    <s v="ORD-10413"/>
    <d v="2024-11-07T00:00:00"/>
    <x v="6"/>
    <x v="3"/>
    <x v="4"/>
    <x v="0"/>
    <x v="8"/>
    <x v="8"/>
    <x v="367"/>
    <x v="7"/>
    <x v="367"/>
    <x v="0"/>
    <x v="1"/>
    <x v="10"/>
  </r>
  <r>
    <s v="ORD-10206"/>
    <d v="2024-11-10T00:00:00"/>
    <x v="6"/>
    <x v="9"/>
    <x v="24"/>
    <x v="1"/>
    <x v="3"/>
    <x v="22"/>
    <x v="368"/>
    <x v="1"/>
    <x v="368"/>
    <x v="1"/>
    <x v="1"/>
    <x v="10"/>
  </r>
  <r>
    <s v="ORD-10214"/>
    <d v="2024-11-11T00:00:00"/>
    <x v="15"/>
    <x v="1"/>
    <x v="11"/>
    <x v="1"/>
    <x v="10"/>
    <x v="10"/>
    <x v="369"/>
    <x v="1"/>
    <x v="369"/>
    <x v="2"/>
    <x v="1"/>
    <x v="10"/>
  </r>
  <r>
    <s v="ORD-10311"/>
    <d v="2024-11-12T00:00:00"/>
    <x v="18"/>
    <x v="6"/>
    <x v="8"/>
    <x v="2"/>
    <x v="12"/>
    <x v="12"/>
    <x v="370"/>
    <x v="3"/>
    <x v="370"/>
    <x v="0"/>
    <x v="1"/>
    <x v="10"/>
  </r>
  <r>
    <s v="ORD-10253"/>
    <d v="2024-11-17T00:00:00"/>
    <x v="14"/>
    <x v="6"/>
    <x v="21"/>
    <x v="0"/>
    <x v="1"/>
    <x v="1"/>
    <x v="371"/>
    <x v="7"/>
    <x v="371"/>
    <x v="1"/>
    <x v="1"/>
    <x v="10"/>
  </r>
  <r>
    <s v="ORD-10540"/>
    <d v="2024-11-18T00:00:00"/>
    <x v="10"/>
    <x v="7"/>
    <x v="26"/>
    <x v="0"/>
    <x v="1"/>
    <x v="1"/>
    <x v="372"/>
    <x v="4"/>
    <x v="372"/>
    <x v="0"/>
    <x v="1"/>
    <x v="10"/>
  </r>
  <r>
    <s v="ORD-10588"/>
    <d v="2024-11-19T00:00:00"/>
    <x v="10"/>
    <x v="0"/>
    <x v="0"/>
    <x v="1"/>
    <x v="6"/>
    <x v="18"/>
    <x v="373"/>
    <x v="0"/>
    <x v="373"/>
    <x v="1"/>
    <x v="1"/>
    <x v="10"/>
  </r>
  <r>
    <s v="ORD-10400"/>
    <d v="2024-11-21T00:00:00"/>
    <x v="13"/>
    <x v="2"/>
    <x v="6"/>
    <x v="0"/>
    <x v="1"/>
    <x v="1"/>
    <x v="374"/>
    <x v="2"/>
    <x v="374"/>
    <x v="1"/>
    <x v="1"/>
    <x v="10"/>
  </r>
  <r>
    <s v="ORD-10586"/>
    <d v="2024-11-22T00:00:00"/>
    <x v="5"/>
    <x v="7"/>
    <x v="14"/>
    <x v="1"/>
    <x v="11"/>
    <x v="17"/>
    <x v="375"/>
    <x v="4"/>
    <x v="375"/>
    <x v="0"/>
    <x v="1"/>
    <x v="10"/>
  </r>
  <r>
    <s v="ORD-10136"/>
    <d v="2024-11-24T00:00:00"/>
    <x v="19"/>
    <x v="2"/>
    <x v="16"/>
    <x v="0"/>
    <x v="7"/>
    <x v="7"/>
    <x v="376"/>
    <x v="6"/>
    <x v="376"/>
    <x v="0"/>
    <x v="1"/>
    <x v="10"/>
  </r>
  <r>
    <s v="ORD-10380"/>
    <d v="2024-11-24T00:00:00"/>
    <x v="13"/>
    <x v="1"/>
    <x v="22"/>
    <x v="1"/>
    <x v="11"/>
    <x v="11"/>
    <x v="377"/>
    <x v="1"/>
    <x v="377"/>
    <x v="2"/>
    <x v="1"/>
    <x v="10"/>
  </r>
  <r>
    <s v="ORD-10418"/>
    <d v="2024-11-24T00:00:00"/>
    <x v="4"/>
    <x v="0"/>
    <x v="10"/>
    <x v="1"/>
    <x v="3"/>
    <x v="3"/>
    <x v="378"/>
    <x v="4"/>
    <x v="378"/>
    <x v="0"/>
    <x v="1"/>
    <x v="10"/>
  </r>
  <r>
    <s v="ORD-10552"/>
    <d v="2024-11-24T00:00:00"/>
    <x v="1"/>
    <x v="7"/>
    <x v="26"/>
    <x v="0"/>
    <x v="2"/>
    <x v="26"/>
    <x v="379"/>
    <x v="3"/>
    <x v="379"/>
    <x v="0"/>
    <x v="1"/>
    <x v="10"/>
  </r>
  <r>
    <s v="ORD-10477"/>
    <d v="2024-11-27T00:00:00"/>
    <x v="10"/>
    <x v="5"/>
    <x v="13"/>
    <x v="0"/>
    <x v="2"/>
    <x v="26"/>
    <x v="380"/>
    <x v="0"/>
    <x v="380"/>
    <x v="1"/>
    <x v="1"/>
    <x v="10"/>
  </r>
  <r>
    <s v="ORD-10331"/>
    <d v="2024-11-29T00:00:00"/>
    <x v="4"/>
    <x v="2"/>
    <x v="16"/>
    <x v="2"/>
    <x v="13"/>
    <x v="19"/>
    <x v="381"/>
    <x v="3"/>
    <x v="381"/>
    <x v="0"/>
    <x v="1"/>
    <x v="11"/>
  </r>
  <r>
    <s v="ORD-10223"/>
    <d v="2024-12-03T00:00:00"/>
    <x v="3"/>
    <x v="0"/>
    <x v="10"/>
    <x v="0"/>
    <x v="0"/>
    <x v="0"/>
    <x v="382"/>
    <x v="7"/>
    <x v="382"/>
    <x v="0"/>
    <x v="1"/>
    <x v="11"/>
  </r>
  <r>
    <s v="ORD-10239"/>
    <d v="2024-12-04T00:00:00"/>
    <x v="4"/>
    <x v="0"/>
    <x v="3"/>
    <x v="0"/>
    <x v="2"/>
    <x v="26"/>
    <x v="383"/>
    <x v="3"/>
    <x v="383"/>
    <x v="0"/>
    <x v="1"/>
    <x v="11"/>
  </r>
  <r>
    <s v="ORD-10499"/>
    <d v="2024-12-04T00:00:00"/>
    <x v="5"/>
    <x v="4"/>
    <x v="9"/>
    <x v="2"/>
    <x v="9"/>
    <x v="9"/>
    <x v="384"/>
    <x v="7"/>
    <x v="384"/>
    <x v="2"/>
    <x v="1"/>
    <x v="11"/>
  </r>
  <r>
    <s v="ORD-10379"/>
    <d v="2024-12-06T00:00:00"/>
    <x v="6"/>
    <x v="0"/>
    <x v="0"/>
    <x v="2"/>
    <x v="4"/>
    <x v="14"/>
    <x v="385"/>
    <x v="5"/>
    <x v="385"/>
    <x v="1"/>
    <x v="1"/>
    <x v="11"/>
  </r>
  <r>
    <s v="ORD-10440"/>
    <d v="2024-12-06T00:00:00"/>
    <x v="5"/>
    <x v="3"/>
    <x v="4"/>
    <x v="0"/>
    <x v="8"/>
    <x v="13"/>
    <x v="386"/>
    <x v="6"/>
    <x v="386"/>
    <x v="2"/>
    <x v="1"/>
    <x v="11"/>
  </r>
  <r>
    <s v="ORD-10347"/>
    <d v="2024-12-09T00:00:00"/>
    <x v="9"/>
    <x v="2"/>
    <x v="16"/>
    <x v="0"/>
    <x v="2"/>
    <x v="26"/>
    <x v="387"/>
    <x v="4"/>
    <x v="387"/>
    <x v="1"/>
    <x v="1"/>
    <x v="11"/>
  </r>
  <r>
    <s v="ORD-10129"/>
    <d v="2024-12-16T00:00:00"/>
    <x v="7"/>
    <x v="5"/>
    <x v="13"/>
    <x v="0"/>
    <x v="0"/>
    <x v="0"/>
    <x v="388"/>
    <x v="3"/>
    <x v="388"/>
    <x v="0"/>
    <x v="1"/>
    <x v="11"/>
  </r>
  <r>
    <s v="ORD-10115"/>
    <d v="2024-12-20T00:00:00"/>
    <x v="9"/>
    <x v="6"/>
    <x v="23"/>
    <x v="2"/>
    <x v="9"/>
    <x v="28"/>
    <x v="389"/>
    <x v="6"/>
    <x v="389"/>
    <x v="0"/>
    <x v="1"/>
    <x v="11"/>
  </r>
  <r>
    <s v="ORD-10338"/>
    <d v="2024-12-22T00:00:00"/>
    <x v="1"/>
    <x v="6"/>
    <x v="21"/>
    <x v="2"/>
    <x v="12"/>
    <x v="16"/>
    <x v="390"/>
    <x v="4"/>
    <x v="390"/>
    <x v="2"/>
    <x v="1"/>
    <x v="11"/>
  </r>
  <r>
    <s v="ORD-10158"/>
    <d v="2024-12-23T00:00:00"/>
    <x v="4"/>
    <x v="9"/>
    <x v="24"/>
    <x v="2"/>
    <x v="4"/>
    <x v="4"/>
    <x v="391"/>
    <x v="0"/>
    <x v="391"/>
    <x v="0"/>
    <x v="1"/>
    <x v="11"/>
  </r>
  <r>
    <s v="ORD-10269"/>
    <d v="2024-12-25T00:00:00"/>
    <x v="3"/>
    <x v="3"/>
    <x v="4"/>
    <x v="1"/>
    <x v="6"/>
    <x v="6"/>
    <x v="392"/>
    <x v="2"/>
    <x v="392"/>
    <x v="0"/>
    <x v="1"/>
    <x v="11"/>
  </r>
  <r>
    <s v="ORD-10474"/>
    <d v="2024-12-25T00:00:00"/>
    <x v="6"/>
    <x v="5"/>
    <x v="25"/>
    <x v="1"/>
    <x v="3"/>
    <x v="22"/>
    <x v="393"/>
    <x v="6"/>
    <x v="393"/>
    <x v="0"/>
    <x v="1"/>
    <x v="11"/>
  </r>
  <r>
    <s v="ORD-10483"/>
    <d v="2024-12-29T00:00:00"/>
    <x v="18"/>
    <x v="8"/>
    <x v="17"/>
    <x v="0"/>
    <x v="5"/>
    <x v="5"/>
    <x v="394"/>
    <x v="3"/>
    <x v="394"/>
    <x v="0"/>
    <x v="1"/>
    <x v="0"/>
  </r>
  <r>
    <s v="ORD-10138"/>
    <d v="2025-01-01T00:00:00"/>
    <x v="18"/>
    <x v="5"/>
    <x v="7"/>
    <x v="0"/>
    <x v="0"/>
    <x v="0"/>
    <x v="395"/>
    <x v="5"/>
    <x v="395"/>
    <x v="0"/>
    <x v="2"/>
    <x v="0"/>
  </r>
  <r>
    <s v="ORD-10553"/>
    <d v="2025-01-01T00:00:00"/>
    <x v="18"/>
    <x v="7"/>
    <x v="15"/>
    <x v="0"/>
    <x v="2"/>
    <x v="26"/>
    <x v="396"/>
    <x v="3"/>
    <x v="396"/>
    <x v="0"/>
    <x v="2"/>
    <x v="0"/>
  </r>
  <r>
    <s v="ORD-10533"/>
    <d v="2025-01-04T00:00:00"/>
    <x v="2"/>
    <x v="6"/>
    <x v="8"/>
    <x v="0"/>
    <x v="7"/>
    <x v="25"/>
    <x v="397"/>
    <x v="0"/>
    <x v="397"/>
    <x v="0"/>
    <x v="2"/>
    <x v="0"/>
  </r>
  <r>
    <s v="ORD-10178"/>
    <d v="2025-01-06T00:00:00"/>
    <x v="4"/>
    <x v="7"/>
    <x v="26"/>
    <x v="0"/>
    <x v="2"/>
    <x v="26"/>
    <x v="398"/>
    <x v="5"/>
    <x v="398"/>
    <x v="0"/>
    <x v="2"/>
    <x v="0"/>
  </r>
  <r>
    <s v="ORD-10383"/>
    <d v="2025-01-06T00:00:00"/>
    <x v="5"/>
    <x v="8"/>
    <x v="29"/>
    <x v="2"/>
    <x v="12"/>
    <x v="12"/>
    <x v="399"/>
    <x v="7"/>
    <x v="399"/>
    <x v="0"/>
    <x v="2"/>
    <x v="0"/>
  </r>
  <r>
    <s v="ORD-10430"/>
    <d v="2025-01-07T00:00:00"/>
    <x v="19"/>
    <x v="0"/>
    <x v="0"/>
    <x v="1"/>
    <x v="3"/>
    <x v="3"/>
    <x v="400"/>
    <x v="5"/>
    <x v="400"/>
    <x v="1"/>
    <x v="2"/>
    <x v="0"/>
  </r>
  <r>
    <s v="ORD-10466"/>
    <d v="2025-01-07T00:00:00"/>
    <x v="12"/>
    <x v="6"/>
    <x v="21"/>
    <x v="0"/>
    <x v="2"/>
    <x v="26"/>
    <x v="401"/>
    <x v="3"/>
    <x v="401"/>
    <x v="0"/>
    <x v="2"/>
    <x v="0"/>
  </r>
  <r>
    <s v="ORD-10494"/>
    <d v="2025-01-07T00:00:00"/>
    <x v="6"/>
    <x v="6"/>
    <x v="8"/>
    <x v="1"/>
    <x v="3"/>
    <x v="22"/>
    <x v="402"/>
    <x v="1"/>
    <x v="402"/>
    <x v="1"/>
    <x v="2"/>
    <x v="0"/>
  </r>
  <r>
    <s v="ORD-10213"/>
    <d v="2025-01-09T00:00:00"/>
    <x v="9"/>
    <x v="3"/>
    <x v="4"/>
    <x v="0"/>
    <x v="8"/>
    <x v="8"/>
    <x v="403"/>
    <x v="4"/>
    <x v="403"/>
    <x v="0"/>
    <x v="2"/>
    <x v="0"/>
  </r>
  <r>
    <s v="ORD-10147"/>
    <d v="2025-01-10T00:00:00"/>
    <x v="9"/>
    <x v="5"/>
    <x v="25"/>
    <x v="0"/>
    <x v="8"/>
    <x v="13"/>
    <x v="404"/>
    <x v="2"/>
    <x v="404"/>
    <x v="2"/>
    <x v="2"/>
    <x v="0"/>
  </r>
  <r>
    <s v="ORD-10216"/>
    <d v="2025-01-17T00:00:00"/>
    <x v="8"/>
    <x v="2"/>
    <x v="2"/>
    <x v="0"/>
    <x v="5"/>
    <x v="20"/>
    <x v="405"/>
    <x v="1"/>
    <x v="405"/>
    <x v="0"/>
    <x v="2"/>
    <x v="0"/>
  </r>
  <r>
    <s v="ORD-10366"/>
    <d v="2025-01-18T00:00:00"/>
    <x v="12"/>
    <x v="7"/>
    <x v="14"/>
    <x v="2"/>
    <x v="12"/>
    <x v="16"/>
    <x v="406"/>
    <x v="1"/>
    <x v="406"/>
    <x v="2"/>
    <x v="2"/>
    <x v="0"/>
  </r>
  <r>
    <s v="ORD-10517"/>
    <d v="2025-01-18T00:00:00"/>
    <x v="18"/>
    <x v="0"/>
    <x v="0"/>
    <x v="0"/>
    <x v="5"/>
    <x v="5"/>
    <x v="407"/>
    <x v="4"/>
    <x v="407"/>
    <x v="2"/>
    <x v="2"/>
    <x v="0"/>
  </r>
  <r>
    <s v="ORD-10362"/>
    <d v="2025-01-19T00:00:00"/>
    <x v="9"/>
    <x v="2"/>
    <x v="2"/>
    <x v="1"/>
    <x v="10"/>
    <x v="24"/>
    <x v="408"/>
    <x v="2"/>
    <x v="408"/>
    <x v="1"/>
    <x v="2"/>
    <x v="0"/>
  </r>
  <r>
    <s v="ORD-10541"/>
    <d v="2025-01-20T00:00:00"/>
    <x v="17"/>
    <x v="3"/>
    <x v="4"/>
    <x v="0"/>
    <x v="2"/>
    <x v="26"/>
    <x v="409"/>
    <x v="6"/>
    <x v="409"/>
    <x v="0"/>
    <x v="2"/>
    <x v="0"/>
  </r>
  <r>
    <s v="ORD-10572"/>
    <d v="2025-01-20T00:00:00"/>
    <x v="3"/>
    <x v="5"/>
    <x v="13"/>
    <x v="2"/>
    <x v="9"/>
    <x v="28"/>
    <x v="410"/>
    <x v="3"/>
    <x v="410"/>
    <x v="2"/>
    <x v="2"/>
    <x v="0"/>
  </r>
  <r>
    <s v="ORD-10497"/>
    <d v="2025-01-21T00:00:00"/>
    <x v="4"/>
    <x v="2"/>
    <x v="6"/>
    <x v="2"/>
    <x v="12"/>
    <x v="16"/>
    <x v="411"/>
    <x v="1"/>
    <x v="411"/>
    <x v="0"/>
    <x v="2"/>
    <x v="0"/>
  </r>
  <r>
    <s v="ORD-10179"/>
    <d v="2025-01-22T00:00:00"/>
    <x v="9"/>
    <x v="6"/>
    <x v="8"/>
    <x v="2"/>
    <x v="13"/>
    <x v="19"/>
    <x v="412"/>
    <x v="5"/>
    <x v="412"/>
    <x v="2"/>
    <x v="2"/>
    <x v="0"/>
  </r>
  <r>
    <s v="ORD-10051"/>
    <d v="2025-01-25T00:00:00"/>
    <x v="13"/>
    <x v="1"/>
    <x v="22"/>
    <x v="1"/>
    <x v="3"/>
    <x v="3"/>
    <x v="413"/>
    <x v="5"/>
    <x v="413"/>
    <x v="0"/>
    <x v="2"/>
    <x v="0"/>
  </r>
  <r>
    <s v="ORD-10426"/>
    <d v="2025-01-25T00:00:00"/>
    <x v="13"/>
    <x v="9"/>
    <x v="24"/>
    <x v="2"/>
    <x v="9"/>
    <x v="9"/>
    <x v="414"/>
    <x v="1"/>
    <x v="414"/>
    <x v="0"/>
    <x v="2"/>
    <x v="0"/>
  </r>
  <r>
    <s v="ORD-10053"/>
    <d v="2025-01-28T00:00:00"/>
    <x v="10"/>
    <x v="2"/>
    <x v="2"/>
    <x v="2"/>
    <x v="9"/>
    <x v="9"/>
    <x v="415"/>
    <x v="1"/>
    <x v="415"/>
    <x v="0"/>
    <x v="2"/>
    <x v="0"/>
  </r>
  <r>
    <s v="ORD-10093"/>
    <d v="2025-01-29T00:00:00"/>
    <x v="7"/>
    <x v="9"/>
    <x v="18"/>
    <x v="2"/>
    <x v="12"/>
    <x v="16"/>
    <x v="416"/>
    <x v="3"/>
    <x v="416"/>
    <x v="2"/>
    <x v="2"/>
    <x v="0"/>
  </r>
  <r>
    <s v="ORD-10196"/>
    <d v="2025-01-29T00:00:00"/>
    <x v="7"/>
    <x v="1"/>
    <x v="11"/>
    <x v="2"/>
    <x v="4"/>
    <x v="14"/>
    <x v="417"/>
    <x v="0"/>
    <x v="417"/>
    <x v="0"/>
    <x v="2"/>
    <x v="1"/>
  </r>
  <r>
    <s v="ORD-10261"/>
    <d v="2025-02-01T00:00:00"/>
    <x v="12"/>
    <x v="7"/>
    <x v="15"/>
    <x v="1"/>
    <x v="3"/>
    <x v="22"/>
    <x v="418"/>
    <x v="1"/>
    <x v="418"/>
    <x v="1"/>
    <x v="2"/>
    <x v="1"/>
  </r>
  <r>
    <s v="ORD-10408"/>
    <d v="2025-02-04T00:00:00"/>
    <x v="7"/>
    <x v="8"/>
    <x v="27"/>
    <x v="0"/>
    <x v="2"/>
    <x v="26"/>
    <x v="419"/>
    <x v="7"/>
    <x v="419"/>
    <x v="0"/>
    <x v="2"/>
    <x v="1"/>
  </r>
  <r>
    <s v="ORD-10441"/>
    <d v="2025-02-04T00:00:00"/>
    <x v="12"/>
    <x v="2"/>
    <x v="2"/>
    <x v="0"/>
    <x v="0"/>
    <x v="0"/>
    <x v="420"/>
    <x v="0"/>
    <x v="420"/>
    <x v="0"/>
    <x v="2"/>
    <x v="1"/>
  </r>
  <r>
    <s v="ORD-10193"/>
    <d v="2025-02-11T00:00:00"/>
    <x v="13"/>
    <x v="9"/>
    <x v="19"/>
    <x v="2"/>
    <x v="12"/>
    <x v="12"/>
    <x v="421"/>
    <x v="5"/>
    <x v="421"/>
    <x v="2"/>
    <x v="2"/>
    <x v="1"/>
  </r>
  <r>
    <s v="ORD-10278"/>
    <d v="2025-02-13T00:00:00"/>
    <x v="11"/>
    <x v="0"/>
    <x v="10"/>
    <x v="2"/>
    <x v="13"/>
    <x v="19"/>
    <x v="422"/>
    <x v="2"/>
    <x v="422"/>
    <x v="0"/>
    <x v="2"/>
    <x v="1"/>
  </r>
  <r>
    <s v="ORD-10208"/>
    <d v="2025-02-17T00:00:00"/>
    <x v="13"/>
    <x v="4"/>
    <x v="9"/>
    <x v="2"/>
    <x v="4"/>
    <x v="14"/>
    <x v="423"/>
    <x v="2"/>
    <x v="423"/>
    <x v="0"/>
    <x v="2"/>
    <x v="1"/>
  </r>
  <r>
    <s v="ORD-10445"/>
    <d v="2025-02-18T00:00:00"/>
    <x v="16"/>
    <x v="9"/>
    <x v="18"/>
    <x v="0"/>
    <x v="1"/>
    <x v="27"/>
    <x v="424"/>
    <x v="0"/>
    <x v="424"/>
    <x v="2"/>
    <x v="2"/>
    <x v="1"/>
  </r>
  <r>
    <s v="ORD-10339"/>
    <d v="2025-02-19T00:00:00"/>
    <x v="4"/>
    <x v="5"/>
    <x v="7"/>
    <x v="0"/>
    <x v="0"/>
    <x v="0"/>
    <x v="425"/>
    <x v="7"/>
    <x v="425"/>
    <x v="0"/>
    <x v="2"/>
    <x v="1"/>
  </r>
  <r>
    <s v="ORD-10011"/>
    <d v="2025-02-20T00:00:00"/>
    <x v="19"/>
    <x v="6"/>
    <x v="21"/>
    <x v="0"/>
    <x v="2"/>
    <x v="26"/>
    <x v="426"/>
    <x v="1"/>
    <x v="426"/>
    <x v="2"/>
    <x v="2"/>
    <x v="1"/>
  </r>
  <r>
    <s v="ORD-10127"/>
    <d v="2025-02-21T00:00:00"/>
    <x v="10"/>
    <x v="0"/>
    <x v="0"/>
    <x v="2"/>
    <x v="4"/>
    <x v="14"/>
    <x v="427"/>
    <x v="5"/>
    <x v="427"/>
    <x v="2"/>
    <x v="2"/>
    <x v="1"/>
  </r>
  <r>
    <s v="ORD-10271"/>
    <d v="2025-02-22T00:00:00"/>
    <x v="1"/>
    <x v="6"/>
    <x v="8"/>
    <x v="1"/>
    <x v="3"/>
    <x v="22"/>
    <x v="428"/>
    <x v="7"/>
    <x v="428"/>
    <x v="0"/>
    <x v="2"/>
    <x v="1"/>
  </r>
  <r>
    <s v="ORD-10504"/>
    <d v="2025-02-23T00:00:00"/>
    <x v="19"/>
    <x v="9"/>
    <x v="18"/>
    <x v="2"/>
    <x v="12"/>
    <x v="16"/>
    <x v="429"/>
    <x v="1"/>
    <x v="429"/>
    <x v="0"/>
    <x v="2"/>
    <x v="1"/>
  </r>
  <r>
    <s v="ORD-10496"/>
    <d v="2025-02-26T00:00:00"/>
    <x v="9"/>
    <x v="2"/>
    <x v="2"/>
    <x v="0"/>
    <x v="2"/>
    <x v="2"/>
    <x v="430"/>
    <x v="3"/>
    <x v="430"/>
    <x v="0"/>
    <x v="2"/>
    <x v="1"/>
  </r>
  <r>
    <s v="ORD-10211"/>
    <d v="2025-02-27T00:00:00"/>
    <x v="11"/>
    <x v="8"/>
    <x v="17"/>
    <x v="0"/>
    <x v="2"/>
    <x v="26"/>
    <x v="431"/>
    <x v="6"/>
    <x v="431"/>
    <x v="0"/>
    <x v="2"/>
    <x v="1"/>
  </r>
  <r>
    <s v="ORD-10324"/>
    <d v="2025-02-28T00:00:00"/>
    <x v="7"/>
    <x v="6"/>
    <x v="23"/>
    <x v="0"/>
    <x v="5"/>
    <x v="20"/>
    <x v="432"/>
    <x v="5"/>
    <x v="432"/>
    <x v="1"/>
    <x v="2"/>
    <x v="2"/>
  </r>
  <r>
    <s v="ORD-10247"/>
    <d v="2025-03-01T00:00:00"/>
    <x v="9"/>
    <x v="3"/>
    <x v="4"/>
    <x v="2"/>
    <x v="9"/>
    <x v="28"/>
    <x v="433"/>
    <x v="3"/>
    <x v="433"/>
    <x v="0"/>
    <x v="2"/>
    <x v="2"/>
  </r>
  <r>
    <s v="ORD-10160"/>
    <d v="2025-03-02T00:00:00"/>
    <x v="19"/>
    <x v="2"/>
    <x v="16"/>
    <x v="1"/>
    <x v="10"/>
    <x v="24"/>
    <x v="434"/>
    <x v="4"/>
    <x v="434"/>
    <x v="2"/>
    <x v="2"/>
    <x v="2"/>
  </r>
  <r>
    <s v="ORD-10292"/>
    <d v="2025-03-05T00:00:00"/>
    <x v="15"/>
    <x v="2"/>
    <x v="6"/>
    <x v="0"/>
    <x v="1"/>
    <x v="1"/>
    <x v="435"/>
    <x v="4"/>
    <x v="435"/>
    <x v="2"/>
    <x v="2"/>
    <x v="2"/>
  </r>
  <r>
    <s v="ORD-10047"/>
    <d v="2025-03-07T00:00:00"/>
    <x v="15"/>
    <x v="1"/>
    <x v="11"/>
    <x v="0"/>
    <x v="5"/>
    <x v="20"/>
    <x v="436"/>
    <x v="7"/>
    <x v="436"/>
    <x v="0"/>
    <x v="2"/>
    <x v="2"/>
  </r>
  <r>
    <s v="ORD-10415"/>
    <d v="2025-03-07T00:00:00"/>
    <x v="18"/>
    <x v="4"/>
    <x v="9"/>
    <x v="2"/>
    <x v="9"/>
    <x v="28"/>
    <x v="437"/>
    <x v="3"/>
    <x v="437"/>
    <x v="0"/>
    <x v="2"/>
    <x v="2"/>
  </r>
  <r>
    <s v="ORD-10518"/>
    <d v="2025-03-09T00:00:00"/>
    <x v="0"/>
    <x v="6"/>
    <x v="21"/>
    <x v="1"/>
    <x v="6"/>
    <x v="18"/>
    <x v="438"/>
    <x v="5"/>
    <x v="438"/>
    <x v="0"/>
    <x v="2"/>
    <x v="2"/>
  </r>
  <r>
    <s v="ORD-10392"/>
    <d v="2025-03-17T00:00:00"/>
    <x v="19"/>
    <x v="8"/>
    <x v="29"/>
    <x v="0"/>
    <x v="5"/>
    <x v="5"/>
    <x v="439"/>
    <x v="6"/>
    <x v="439"/>
    <x v="0"/>
    <x v="2"/>
    <x v="2"/>
  </r>
  <r>
    <s v="ORD-10090"/>
    <d v="2025-03-19T00:00:00"/>
    <x v="14"/>
    <x v="9"/>
    <x v="18"/>
    <x v="1"/>
    <x v="6"/>
    <x v="6"/>
    <x v="440"/>
    <x v="4"/>
    <x v="440"/>
    <x v="0"/>
    <x v="2"/>
    <x v="2"/>
  </r>
  <r>
    <s v="ORD-10295"/>
    <d v="2025-03-21T00:00:00"/>
    <x v="9"/>
    <x v="6"/>
    <x v="8"/>
    <x v="0"/>
    <x v="7"/>
    <x v="25"/>
    <x v="441"/>
    <x v="7"/>
    <x v="441"/>
    <x v="0"/>
    <x v="2"/>
    <x v="2"/>
  </r>
  <r>
    <s v="ORD-10241"/>
    <d v="2025-03-22T00:00:00"/>
    <x v="9"/>
    <x v="7"/>
    <x v="15"/>
    <x v="0"/>
    <x v="1"/>
    <x v="1"/>
    <x v="442"/>
    <x v="7"/>
    <x v="442"/>
    <x v="0"/>
    <x v="2"/>
    <x v="2"/>
  </r>
  <r>
    <s v="ORD-10202"/>
    <d v="2025-03-23T00:00:00"/>
    <x v="0"/>
    <x v="4"/>
    <x v="5"/>
    <x v="2"/>
    <x v="13"/>
    <x v="15"/>
    <x v="443"/>
    <x v="5"/>
    <x v="443"/>
    <x v="0"/>
    <x v="2"/>
    <x v="2"/>
  </r>
  <r>
    <s v="ORD-10207"/>
    <d v="2025-03-23T00:00:00"/>
    <x v="5"/>
    <x v="8"/>
    <x v="17"/>
    <x v="0"/>
    <x v="7"/>
    <x v="7"/>
    <x v="444"/>
    <x v="6"/>
    <x v="444"/>
    <x v="0"/>
    <x v="2"/>
    <x v="2"/>
  </r>
  <r>
    <s v="ORD-10378"/>
    <d v="2025-03-24T00:00:00"/>
    <x v="7"/>
    <x v="7"/>
    <x v="14"/>
    <x v="0"/>
    <x v="2"/>
    <x v="2"/>
    <x v="445"/>
    <x v="5"/>
    <x v="445"/>
    <x v="0"/>
    <x v="2"/>
    <x v="2"/>
  </r>
  <r>
    <s v="ORD-10555"/>
    <d v="2025-03-25T00:00:00"/>
    <x v="7"/>
    <x v="4"/>
    <x v="9"/>
    <x v="0"/>
    <x v="2"/>
    <x v="26"/>
    <x v="446"/>
    <x v="6"/>
    <x v="446"/>
    <x v="0"/>
    <x v="2"/>
    <x v="2"/>
  </r>
  <r>
    <s v="ORD-10041"/>
    <d v="2025-03-29T00:00:00"/>
    <x v="6"/>
    <x v="3"/>
    <x v="20"/>
    <x v="2"/>
    <x v="12"/>
    <x v="16"/>
    <x v="447"/>
    <x v="3"/>
    <x v="447"/>
    <x v="0"/>
    <x v="2"/>
    <x v="3"/>
  </r>
  <r>
    <s v="ORD-10330"/>
    <d v="2025-04-06T00:00:00"/>
    <x v="4"/>
    <x v="1"/>
    <x v="1"/>
    <x v="1"/>
    <x v="6"/>
    <x v="18"/>
    <x v="448"/>
    <x v="4"/>
    <x v="448"/>
    <x v="1"/>
    <x v="2"/>
    <x v="3"/>
  </r>
  <r>
    <s v="ORD-10072"/>
    <d v="2025-04-07T00:00:00"/>
    <x v="5"/>
    <x v="1"/>
    <x v="11"/>
    <x v="0"/>
    <x v="8"/>
    <x v="8"/>
    <x v="449"/>
    <x v="4"/>
    <x v="449"/>
    <x v="2"/>
    <x v="2"/>
    <x v="3"/>
  </r>
  <r>
    <s v="ORD-10113"/>
    <d v="2025-04-09T00:00:00"/>
    <x v="18"/>
    <x v="2"/>
    <x v="6"/>
    <x v="2"/>
    <x v="4"/>
    <x v="14"/>
    <x v="450"/>
    <x v="4"/>
    <x v="450"/>
    <x v="0"/>
    <x v="2"/>
    <x v="3"/>
  </r>
  <r>
    <s v="ORD-10203"/>
    <d v="2025-04-10T00:00:00"/>
    <x v="15"/>
    <x v="4"/>
    <x v="9"/>
    <x v="2"/>
    <x v="9"/>
    <x v="28"/>
    <x v="451"/>
    <x v="4"/>
    <x v="451"/>
    <x v="1"/>
    <x v="2"/>
    <x v="3"/>
  </r>
  <r>
    <s v="ORD-10486"/>
    <d v="2025-04-10T00:00:00"/>
    <x v="18"/>
    <x v="1"/>
    <x v="11"/>
    <x v="0"/>
    <x v="8"/>
    <x v="13"/>
    <x v="452"/>
    <x v="4"/>
    <x v="452"/>
    <x v="0"/>
    <x v="2"/>
    <x v="3"/>
  </r>
  <r>
    <s v="ORD-10520"/>
    <d v="2025-04-10T00:00:00"/>
    <x v="2"/>
    <x v="8"/>
    <x v="17"/>
    <x v="0"/>
    <x v="0"/>
    <x v="23"/>
    <x v="453"/>
    <x v="7"/>
    <x v="453"/>
    <x v="0"/>
    <x v="2"/>
    <x v="3"/>
  </r>
  <r>
    <s v="ORD-10489"/>
    <d v="2025-04-11T00:00:00"/>
    <x v="13"/>
    <x v="0"/>
    <x v="0"/>
    <x v="1"/>
    <x v="6"/>
    <x v="18"/>
    <x v="454"/>
    <x v="5"/>
    <x v="454"/>
    <x v="0"/>
    <x v="2"/>
    <x v="3"/>
  </r>
  <r>
    <s v="ORD-10031"/>
    <d v="2025-04-12T00:00:00"/>
    <x v="6"/>
    <x v="0"/>
    <x v="10"/>
    <x v="2"/>
    <x v="12"/>
    <x v="12"/>
    <x v="455"/>
    <x v="6"/>
    <x v="455"/>
    <x v="2"/>
    <x v="2"/>
    <x v="3"/>
  </r>
  <r>
    <s v="ORD-10057"/>
    <d v="2025-04-12T00:00:00"/>
    <x v="17"/>
    <x v="5"/>
    <x v="13"/>
    <x v="2"/>
    <x v="12"/>
    <x v="12"/>
    <x v="456"/>
    <x v="0"/>
    <x v="456"/>
    <x v="1"/>
    <x v="2"/>
    <x v="3"/>
  </r>
  <r>
    <s v="ORD-10597"/>
    <d v="2025-04-13T00:00:00"/>
    <x v="12"/>
    <x v="8"/>
    <x v="17"/>
    <x v="1"/>
    <x v="10"/>
    <x v="24"/>
    <x v="457"/>
    <x v="4"/>
    <x v="457"/>
    <x v="0"/>
    <x v="2"/>
    <x v="3"/>
  </r>
  <r>
    <s v="ORD-10376"/>
    <d v="2025-04-16T00:00:00"/>
    <x v="2"/>
    <x v="6"/>
    <x v="8"/>
    <x v="0"/>
    <x v="7"/>
    <x v="7"/>
    <x v="458"/>
    <x v="5"/>
    <x v="458"/>
    <x v="0"/>
    <x v="2"/>
    <x v="3"/>
  </r>
  <r>
    <s v="ORD-10184"/>
    <d v="2025-04-17T00:00:00"/>
    <x v="6"/>
    <x v="5"/>
    <x v="13"/>
    <x v="1"/>
    <x v="6"/>
    <x v="18"/>
    <x v="459"/>
    <x v="5"/>
    <x v="459"/>
    <x v="0"/>
    <x v="2"/>
    <x v="3"/>
  </r>
  <r>
    <s v="ORD-10377"/>
    <d v="2025-04-17T00:00:00"/>
    <x v="16"/>
    <x v="5"/>
    <x v="13"/>
    <x v="0"/>
    <x v="1"/>
    <x v="1"/>
    <x v="460"/>
    <x v="6"/>
    <x v="460"/>
    <x v="0"/>
    <x v="2"/>
    <x v="3"/>
  </r>
  <r>
    <s v="ORD-10078"/>
    <d v="2025-04-21T00:00:00"/>
    <x v="18"/>
    <x v="0"/>
    <x v="10"/>
    <x v="2"/>
    <x v="12"/>
    <x v="16"/>
    <x v="461"/>
    <x v="0"/>
    <x v="461"/>
    <x v="0"/>
    <x v="2"/>
    <x v="3"/>
  </r>
  <r>
    <s v="ORD-10270"/>
    <d v="2025-04-23T00:00:00"/>
    <x v="1"/>
    <x v="8"/>
    <x v="29"/>
    <x v="2"/>
    <x v="12"/>
    <x v="16"/>
    <x v="462"/>
    <x v="3"/>
    <x v="462"/>
    <x v="2"/>
    <x v="2"/>
    <x v="3"/>
  </r>
  <r>
    <s v="ORD-10565"/>
    <d v="2025-04-23T00:00:00"/>
    <x v="3"/>
    <x v="6"/>
    <x v="23"/>
    <x v="1"/>
    <x v="10"/>
    <x v="24"/>
    <x v="463"/>
    <x v="3"/>
    <x v="463"/>
    <x v="0"/>
    <x v="2"/>
    <x v="3"/>
  </r>
  <r>
    <s v="ORD-10585"/>
    <d v="2025-04-23T00:00:00"/>
    <x v="4"/>
    <x v="0"/>
    <x v="3"/>
    <x v="1"/>
    <x v="6"/>
    <x v="6"/>
    <x v="464"/>
    <x v="6"/>
    <x v="464"/>
    <x v="0"/>
    <x v="2"/>
    <x v="3"/>
  </r>
  <r>
    <s v="ORD-10473"/>
    <d v="2025-04-27T00:00:00"/>
    <x v="10"/>
    <x v="6"/>
    <x v="8"/>
    <x v="1"/>
    <x v="6"/>
    <x v="6"/>
    <x v="465"/>
    <x v="3"/>
    <x v="465"/>
    <x v="0"/>
    <x v="2"/>
    <x v="3"/>
  </r>
  <r>
    <s v="ORD-10109"/>
    <d v="2025-04-28T00:00:00"/>
    <x v="2"/>
    <x v="7"/>
    <x v="26"/>
    <x v="2"/>
    <x v="4"/>
    <x v="14"/>
    <x v="466"/>
    <x v="3"/>
    <x v="466"/>
    <x v="0"/>
    <x v="2"/>
    <x v="3"/>
  </r>
  <r>
    <s v="ORD-10045"/>
    <d v="2025-04-29T00:00:00"/>
    <x v="18"/>
    <x v="4"/>
    <x v="9"/>
    <x v="2"/>
    <x v="12"/>
    <x v="12"/>
    <x v="467"/>
    <x v="4"/>
    <x v="467"/>
    <x v="1"/>
    <x v="2"/>
    <x v="3"/>
  </r>
  <r>
    <s v="ORD-10470"/>
    <d v="2025-04-29T00:00:00"/>
    <x v="4"/>
    <x v="9"/>
    <x v="18"/>
    <x v="0"/>
    <x v="1"/>
    <x v="1"/>
    <x v="468"/>
    <x v="0"/>
    <x v="468"/>
    <x v="1"/>
    <x v="2"/>
    <x v="4"/>
  </r>
  <r>
    <s v="ORD-10306"/>
    <d v="2025-05-07T00:00:00"/>
    <x v="15"/>
    <x v="6"/>
    <x v="21"/>
    <x v="1"/>
    <x v="6"/>
    <x v="6"/>
    <x v="469"/>
    <x v="5"/>
    <x v="469"/>
    <x v="1"/>
    <x v="2"/>
    <x v="4"/>
  </r>
  <r>
    <s v="ORD-10024"/>
    <d v="2025-05-08T00:00:00"/>
    <x v="8"/>
    <x v="3"/>
    <x v="28"/>
    <x v="2"/>
    <x v="12"/>
    <x v="12"/>
    <x v="470"/>
    <x v="4"/>
    <x v="470"/>
    <x v="2"/>
    <x v="2"/>
    <x v="4"/>
  </r>
  <r>
    <s v="ORD-10600"/>
    <d v="2025-05-17T00:00:00"/>
    <x v="9"/>
    <x v="1"/>
    <x v="22"/>
    <x v="0"/>
    <x v="1"/>
    <x v="1"/>
    <x v="471"/>
    <x v="6"/>
    <x v="471"/>
    <x v="1"/>
    <x v="2"/>
    <x v="4"/>
  </r>
  <r>
    <s v="ORD-10568"/>
    <d v="2025-05-20T00:00:00"/>
    <x v="12"/>
    <x v="4"/>
    <x v="9"/>
    <x v="1"/>
    <x v="3"/>
    <x v="21"/>
    <x v="472"/>
    <x v="4"/>
    <x v="472"/>
    <x v="0"/>
    <x v="2"/>
    <x v="4"/>
  </r>
  <r>
    <s v="ORD-10523"/>
    <d v="2025-05-22T00:00:00"/>
    <x v="15"/>
    <x v="1"/>
    <x v="22"/>
    <x v="2"/>
    <x v="12"/>
    <x v="12"/>
    <x v="473"/>
    <x v="0"/>
    <x v="473"/>
    <x v="0"/>
    <x v="2"/>
    <x v="4"/>
  </r>
  <r>
    <s v="ORD-10048"/>
    <d v="2025-05-27T00:00:00"/>
    <x v="19"/>
    <x v="2"/>
    <x v="16"/>
    <x v="1"/>
    <x v="6"/>
    <x v="18"/>
    <x v="474"/>
    <x v="4"/>
    <x v="474"/>
    <x v="0"/>
    <x v="2"/>
    <x v="5"/>
  </r>
  <r>
    <s v="ORD-10210"/>
    <d v="2025-06-01T00:00:00"/>
    <x v="17"/>
    <x v="0"/>
    <x v="3"/>
    <x v="1"/>
    <x v="3"/>
    <x v="21"/>
    <x v="475"/>
    <x v="2"/>
    <x v="475"/>
    <x v="1"/>
    <x v="2"/>
    <x v="5"/>
  </r>
  <r>
    <s v="ORD-10507"/>
    <d v="2025-06-03T00:00:00"/>
    <x v="14"/>
    <x v="0"/>
    <x v="0"/>
    <x v="2"/>
    <x v="9"/>
    <x v="28"/>
    <x v="476"/>
    <x v="6"/>
    <x v="476"/>
    <x v="2"/>
    <x v="2"/>
    <x v="5"/>
  </r>
  <r>
    <s v="ORD-10054"/>
    <d v="2025-06-10T00:00:00"/>
    <x v="10"/>
    <x v="1"/>
    <x v="11"/>
    <x v="0"/>
    <x v="8"/>
    <x v="8"/>
    <x v="477"/>
    <x v="2"/>
    <x v="477"/>
    <x v="0"/>
    <x v="2"/>
    <x v="5"/>
  </r>
  <r>
    <s v="ORD-10495"/>
    <d v="2025-06-13T00:00:00"/>
    <x v="12"/>
    <x v="9"/>
    <x v="19"/>
    <x v="1"/>
    <x v="3"/>
    <x v="22"/>
    <x v="478"/>
    <x v="3"/>
    <x v="478"/>
    <x v="0"/>
    <x v="2"/>
    <x v="5"/>
  </r>
  <r>
    <s v="ORD-10323"/>
    <d v="2025-06-15T00:00:00"/>
    <x v="14"/>
    <x v="8"/>
    <x v="17"/>
    <x v="2"/>
    <x v="12"/>
    <x v="16"/>
    <x v="479"/>
    <x v="6"/>
    <x v="479"/>
    <x v="2"/>
    <x v="2"/>
    <x v="5"/>
  </r>
  <r>
    <s v="ORD-10281"/>
    <d v="2025-06-16T00:00:00"/>
    <x v="3"/>
    <x v="0"/>
    <x v="3"/>
    <x v="1"/>
    <x v="11"/>
    <x v="11"/>
    <x v="480"/>
    <x v="1"/>
    <x v="480"/>
    <x v="1"/>
    <x v="2"/>
    <x v="5"/>
  </r>
  <r>
    <s v="ORD-10154"/>
    <d v="2025-06-19T00:00:00"/>
    <x v="1"/>
    <x v="3"/>
    <x v="4"/>
    <x v="0"/>
    <x v="0"/>
    <x v="0"/>
    <x v="481"/>
    <x v="2"/>
    <x v="481"/>
    <x v="1"/>
    <x v="2"/>
    <x v="5"/>
  </r>
  <r>
    <s v="ORD-10480"/>
    <d v="2025-06-22T00:00:00"/>
    <x v="14"/>
    <x v="0"/>
    <x v="10"/>
    <x v="1"/>
    <x v="10"/>
    <x v="24"/>
    <x v="482"/>
    <x v="6"/>
    <x v="482"/>
    <x v="0"/>
    <x v="2"/>
    <x v="5"/>
  </r>
  <r>
    <s v="ORD-10170"/>
    <d v="2025-06-24T00:00:00"/>
    <x v="1"/>
    <x v="7"/>
    <x v="15"/>
    <x v="0"/>
    <x v="1"/>
    <x v="1"/>
    <x v="483"/>
    <x v="6"/>
    <x v="483"/>
    <x v="0"/>
    <x v="2"/>
    <x v="5"/>
  </r>
  <r>
    <s v="ORD-10386"/>
    <d v="2025-06-25T00:00:00"/>
    <x v="8"/>
    <x v="5"/>
    <x v="7"/>
    <x v="0"/>
    <x v="0"/>
    <x v="23"/>
    <x v="484"/>
    <x v="5"/>
    <x v="484"/>
    <x v="1"/>
    <x v="2"/>
    <x v="5"/>
  </r>
  <r>
    <s v="ORD-10404"/>
    <d v="2025-06-26T00:00:00"/>
    <x v="6"/>
    <x v="3"/>
    <x v="4"/>
    <x v="1"/>
    <x v="3"/>
    <x v="22"/>
    <x v="485"/>
    <x v="5"/>
    <x v="485"/>
    <x v="0"/>
    <x v="2"/>
    <x v="5"/>
  </r>
  <r>
    <s v="ORD-10146"/>
    <d v="2025-06-30T00:00:00"/>
    <x v="18"/>
    <x v="4"/>
    <x v="5"/>
    <x v="1"/>
    <x v="11"/>
    <x v="17"/>
    <x v="486"/>
    <x v="2"/>
    <x v="486"/>
    <x v="0"/>
    <x v="2"/>
    <x v="6"/>
  </r>
  <r>
    <s v="ORD-10360"/>
    <d v="2025-07-01T00:00:00"/>
    <x v="11"/>
    <x v="7"/>
    <x v="26"/>
    <x v="1"/>
    <x v="10"/>
    <x v="24"/>
    <x v="487"/>
    <x v="3"/>
    <x v="487"/>
    <x v="0"/>
    <x v="2"/>
    <x v="6"/>
  </r>
  <r>
    <s v="ORD-10436"/>
    <d v="2025-07-01T00:00:00"/>
    <x v="8"/>
    <x v="5"/>
    <x v="25"/>
    <x v="1"/>
    <x v="3"/>
    <x v="21"/>
    <x v="488"/>
    <x v="1"/>
    <x v="488"/>
    <x v="2"/>
    <x v="2"/>
    <x v="6"/>
  </r>
  <r>
    <s v="ORD-10462"/>
    <d v="2025-07-02T00:00:00"/>
    <x v="3"/>
    <x v="6"/>
    <x v="21"/>
    <x v="1"/>
    <x v="6"/>
    <x v="6"/>
    <x v="489"/>
    <x v="5"/>
    <x v="489"/>
    <x v="0"/>
    <x v="2"/>
    <x v="6"/>
  </r>
  <r>
    <s v="ORD-10509"/>
    <d v="2025-07-02T00:00:00"/>
    <x v="9"/>
    <x v="8"/>
    <x v="17"/>
    <x v="1"/>
    <x v="6"/>
    <x v="18"/>
    <x v="490"/>
    <x v="4"/>
    <x v="490"/>
    <x v="0"/>
    <x v="2"/>
    <x v="6"/>
  </r>
  <r>
    <s v="ORD-10280"/>
    <d v="2025-07-03T00:00:00"/>
    <x v="14"/>
    <x v="4"/>
    <x v="9"/>
    <x v="0"/>
    <x v="7"/>
    <x v="7"/>
    <x v="491"/>
    <x v="6"/>
    <x v="491"/>
    <x v="0"/>
    <x v="2"/>
    <x v="6"/>
  </r>
  <r>
    <s v="ORD-10141"/>
    <d v="2025-07-04T00:00:00"/>
    <x v="0"/>
    <x v="2"/>
    <x v="16"/>
    <x v="0"/>
    <x v="7"/>
    <x v="25"/>
    <x v="492"/>
    <x v="6"/>
    <x v="492"/>
    <x v="0"/>
    <x v="2"/>
    <x v="6"/>
  </r>
  <r>
    <s v="ORD-10126"/>
    <d v="2025-07-08T00:00:00"/>
    <x v="17"/>
    <x v="0"/>
    <x v="0"/>
    <x v="2"/>
    <x v="12"/>
    <x v="16"/>
    <x v="493"/>
    <x v="5"/>
    <x v="493"/>
    <x v="0"/>
    <x v="2"/>
    <x v="6"/>
  </r>
  <r>
    <s v="ORD-10421"/>
    <d v="2025-07-09T00:00:00"/>
    <x v="14"/>
    <x v="7"/>
    <x v="14"/>
    <x v="2"/>
    <x v="12"/>
    <x v="12"/>
    <x v="494"/>
    <x v="2"/>
    <x v="494"/>
    <x v="0"/>
    <x v="2"/>
    <x v="6"/>
  </r>
  <r>
    <s v="ORD-10442"/>
    <d v="2025-07-10T00:00:00"/>
    <x v="5"/>
    <x v="7"/>
    <x v="15"/>
    <x v="0"/>
    <x v="1"/>
    <x v="1"/>
    <x v="495"/>
    <x v="5"/>
    <x v="495"/>
    <x v="1"/>
    <x v="2"/>
    <x v="6"/>
  </r>
  <r>
    <s v="ORD-10064"/>
    <d v="2025-07-11T00:00:00"/>
    <x v="11"/>
    <x v="9"/>
    <x v="19"/>
    <x v="0"/>
    <x v="2"/>
    <x v="26"/>
    <x v="496"/>
    <x v="1"/>
    <x v="496"/>
    <x v="1"/>
    <x v="2"/>
    <x v="6"/>
  </r>
  <r>
    <s v="ORD-10282"/>
    <d v="2025-07-13T00:00:00"/>
    <x v="4"/>
    <x v="5"/>
    <x v="7"/>
    <x v="1"/>
    <x v="6"/>
    <x v="18"/>
    <x v="497"/>
    <x v="2"/>
    <x v="497"/>
    <x v="0"/>
    <x v="2"/>
    <x v="6"/>
  </r>
  <r>
    <s v="ORD-10264"/>
    <d v="2025-07-14T00:00:00"/>
    <x v="19"/>
    <x v="1"/>
    <x v="1"/>
    <x v="0"/>
    <x v="0"/>
    <x v="23"/>
    <x v="498"/>
    <x v="0"/>
    <x v="498"/>
    <x v="0"/>
    <x v="2"/>
    <x v="6"/>
  </r>
  <r>
    <s v="ORD-10251"/>
    <d v="2025-07-17T00:00:00"/>
    <x v="13"/>
    <x v="4"/>
    <x v="5"/>
    <x v="1"/>
    <x v="11"/>
    <x v="17"/>
    <x v="499"/>
    <x v="4"/>
    <x v="499"/>
    <x v="2"/>
    <x v="2"/>
    <x v="6"/>
  </r>
  <r>
    <s v="ORD-10522"/>
    <d v="2025-07-23T00:00:00"/>
    <x v="3"/>
    <x v="8"/>
    <x v="17"/>
    <x v="2"/>
    <x v="9"/>
    <x v="9"/>
    <x v="500"/>
    <x v="4"/>
    <x v="500"/>
    <x v="2"/>
    <x v="2"/>
    <x v="6"/>
  </r>
  <r>
    <s v="ORD-10025"/>
    <d v="2025-07-25T00:00:00"/>
    <x v="12"/>
    <x v="0"/>
    <x v="10"/>
    <x v="0"/>
    <x v="5"/>
    <x v="5"/>
    <x v="501"/>
    <x v="5"/>
    <x v="501"/>
    <x v="0"/>
    <x v="2"/>
    <x v="6"/>
  </r>
  <r>
    <s v="ORD-10227"/>
    <d v="2025-07-26T00:00:00"/>
    <x v="3"/>
    <x v="2"/>
    <x v="6"/>
    <x v="2"/>
    <x v="9"/>
    <x v="9"/>
    <x v="502"/>
    <x v="6"/>
    <x v="502"/>
    <x v="2"/>
    <x v="2"/>
    <x v="6"/>
  </r>
  <r>
    <s v="ORD-10544"/>
    <d v="2025-07-26T00:00:00"/>
    <x v="12"/>
    <x v="1"/>
    <x v="22"/>
    <x v="0"/>
    <x v="1"/>
    <x v="1"/>
    <x v="503"/>
    <x v="0"/>
    <x v="503"/>
    <x v="0"/>
    <x v="2"/>
    <x v="6"/>
  </r>
  <r>
    <s v="ORD-10009"/>
    <d v="2025-07-28T00:00:00"/>
    <x v="14"/>
    <x v="2"/>
    <x v="16"/>
    <x v="0"/>
    <x v="7"/>
    <x v="25"/>
    <x v="504"/>
    <x v="1"/>
    <x v="504"/>
    <x v="0"/>
    <x v="2"/>
    <x v="6"/>
  </r>
  <r>
    <s v="ORD-10428"/>
    <d v="2025-07-28T00:00:00"/>
    <x v="16"/>
    <x v="2"/>
    <x v="16"/>
    <x v="1"/>
    <x v="6"/>
    <x v="18"/>
    <x v="505"/>
    <x v="6"/>
    <x v="505"/>
    <x v="1"/>
    <x v="2"/>
    <x v="6"/>
  </r>
  <r>
    <s v="ORD-10478"/>
    <d v="2025-07-29T00:00:00"/>
    <x v="10"/>
    <x v="5"/>
    <x v="25"/>
    <x v="1"/>
    <x v="3"/>
    <x v="22"/>
    <x v="506"/>
    <x v="7"/>
    <x v="506"/>
    <x v="1"/>
    <x v="2"/>
    <x v="6"/>
  </r>
  <r>
    <s v="ORD-10084"/>
    <d v="2025-07-30T00:00:00"/>
    <x v="5"/>
    <x v="1"/>
    <x v="22"/>
    <x v="1"/>
    <x v="3"/>
    <x v="3"/>
    <x v="507"/>
    <x v="5"/>
    <x v="507"/>
    <x v="0"/>
    <x v="2"/>
    <x v="6"/>
  </r>
  <r>
    <s v="ORD-10432"/>
    <d v="2025-07-31T00:00:00"/>
    <x v="6"/>
    <x v="5"/>
    <x v="25"/>
    <x v="2"/>
    <x v="12"/>
    <x v="12"/>
    <x v="508"/>
    <x v="7"/>
    <x v="508"/>
    <x v="0"/>
    <x v="2"/>
    <x v="7"/>
  </r>
  <r>
    <s v="ORD-10020"/>
    <d v="2025-08-05T00:00:00"/>
    <x v="12"/>
    <x v="5"/>
    <x v="7"/>
    <x v="1"/>
    <x v="6"/>
    <x v="18"/>
    <x v="509"/>
    <x v="5"/>
    <x v="509"/>
    <x v="0"/>
    <x v="2"/>
    <x v="7"/>
  </r>
  <r>
    <s v="ORD-10593"/>
    <d v="2025-08-05T00:00:00"/>
    <x v="9"/>
    <x v="2"/>
    <x v="16"/>
    <x v="2"/>
    <x v="9"/>
    <x v="28"/>
    <x v="510"/>
    <x v="6"/>
    <x v="510"/>
    <x v="0"/>
    <x v="2"/>
    <x v="7"/>
  </r>
  <r>
    <s v="ORD-10116"/>
    <d v="2025-08-08T00:00:00"/>
    <x v="8"/>
    <x v="6"/>
    <x v="21"/>
    <x v="1"/>
    <x v="11"/>
    <x v="11"/>
    <x v="511"/>
    <x v="3"/>
    <x v="511"/>
    <x v="2"/>
    <x v="2"/>
    <x v="7"/>
  </r>
  <r>
    <s v="ORD-10299"/>
    <d v="2025-08-08T00:00:00"/>
    <x v="15"/>
    <x v="8"/>
    <x v="27"/>
    <x v="2"/>
    <x v="12"/>
    <x v="16"/>
    <x v="512"/>
    <x v="6"/>
    <x v="512"/>
    <x v="2"/>
    <x v="2"/>
    <x v="7"/>
  </r>
  <r>
    <s v="ORD-10505"/>
    <d v="2025-08-08T00:00:00"/>
    <x v="1"/>
    <x v="8"/>
    <x v="29"/>
    <x v="0"/>
    <x v="0"/>
    <x v="0"/>
    <x v="513"/>
    <x v="2"/>
    <x v="513"/>
    <x v="1"/>
    <x v="2"/>
    <x v="7"/>
  </r>
  <r>
    <s v="ORD-10528"/>
    <d v="2025-08-08T00:00:00"/>
    <x v="14"/>
    <x v="4"/>
    <x v="5"/>
    <x v="2"/>
    <x v="9"/>
    <x v="9"/>
    <x v="514"/>
    <x v="0"/>
    <x v="514"/>
    <x v="0"/>
    <x v="2"/>
    <x v="7"/>
  </r>
  <r>
    <s v="ORD-10539"/>
    <d v="2025-08-08T00:00:00"/>
    <x v="12"/>
    <x v="1"/>
    <x v="1"/>
    <x v="1"/>
    <x v="6"/>
    <x v="18"/>
    <x v="515"/>
    <x v="6"/>
    <x v="515"/>
    <x v="0"/>
    <x v="2"/>
    <x v="7"/>
  </r>
  <r>
    <s v="ORD-10444"/>
    <d v="2025-08-10T00:00:00"/>
    <x v="12"/>
    <x v="6"/>
    <x v="23"/>
    <x v="0"/>
    <x v="7"/>
    <x v="25"/>
    <x v="516"/>
    <x v="7"/>
    <x v="516"/>
    <x v="0"/>
    <x v="2"/>
    <x v="7"/>
  </r>
  <r>
    <s v="ORD-10195"/>
    <d v="2025-08-12T00:00:00"/>
    <x v="0"/>
    <x v="3"/>
    <x v="28"/>
    <x v="2"/>
    <x v="13"/>
    <x v="15"/>
    <x v="517"/>
    <x v="1"/>
    <x v="517"/>
    <x v="2"/>
    <x v="2"/>
    <x v="7"/>
  </r>
  <r>
    <s v="ORD-10344"/>
    <d v="2025-08-13T00:00:00"/>
    <x v="4"/>
    <x v="6"/>
    <x v="23"/>
    <x v="2"/>
    <x v="13"/>
    <x v="19"/>
    <x v="518"/>
    <x v="6"/>
    <x v="518"/>
    <x v="0"/>
    <x v="2"/>
    <x v="7"/>
  </r>
  <r>
    <s v="ORD-10062"/>
    <d v="2025-08-19T00:00:00"/>
    <x v="19"/>
    <x v="6"/>
    <x v="21"/>
    <x v="0"/>
    <x v="0"/>
    <x v="0"/>
    <x v="519"/>
    <x v="5"/>
    <x v="519"/>
    <x v="1"/>
    <x v="2"/>
    <x v="7"/>
  </r>
  <r>
    <s v="ORD-10365"/>
    <d v="2025-08-19T00:00:00"/>
    <x v="4"/>
    <x v="4"/>
    <x v="5"/>
    <x v="2"/>
    <x v="12"/>
    <x v="16"/>
    <x v="520"/>
    <x v="1"/>
    <x v="520"/>
    <x v="1"/>
    <x v="2"/>
    <x v="7"/>
  </r>
  <r>
    <s v="ORD-10587"/>
    <d v="2025-08-19T00:00:00"/>
    <x v="5"/>
    <x v="3"/>
    <x v="20"/>
    <x v="2"/>
    <x v="4"/>
    <x v="14"/>
    <x v="521"/>
    <x v="7"/>
    <x v="521"/>
    <x v="2"/>
    <x v="2"/>
    <x v="7"/>
  </r>
  <r>
    <s v="ORD-10309"/>
    <d v="2025-08-21T00:00:00"/>
    <x v="8"/>
    <x v="0"/>
    <x v="3"/>
    <x v="2"/>
    <x v="13"/>
    <x v="15"/>
    <x v="522"/>
    <x v="4"/>
    <x v="522"/>
    <x v="0"/>
    <x v="2"/>
    <x v="7"/>
  </r>
  <r>
    <s v="ORD-10560"/>
    <d v="2025-08-25T00:00:00"/>
    <x v="11"/>
    <x v="4"/>
    <x v="5"/>
    <x v="1"/>
    <x v="3"/>
    <x v="3"/>
    <x v="523"/>
    <x v="5"/>
    <x v="523"/>
    <x v="0"/>
    <x v="2"/>
    <x v="7"/>
  </r>
  <r>
    <s v="ORD-10018"/>
    <d v="2025-08-26T00:00:00"/>
    <x v="2"/>
    <x v="1"/>
    <x v="11"/>
    <x v="2"/>
    <x v="12"/>
    <x v="16"/>
    <x v="524"/>
    <x v="0"/>
    <x v="524"/>
    <x v="1"/>
    <x v="2"/>
    <x v="7"/>
  </r>
  <r>
    <s v="ORD-10300"/>
    <d v="2025-08-29T00:00:00"/>
    <x v="17"/>
    <x v="4"/>
    <x v="9"/>
    <x v="0"/>
    <x v="2"/>
    <x v="2"/>
    <x v="525"/>
    <x v="2"/>
    <x v="525"/>
    <x v="2"/>
    <x v="2"/>
    <x v="7"/>
  </r>
  <r>
    <s v="ORD-10043"/>
    <d v="2025-08-30T00:00:00"/>
    <x v="14"/>
    <x v="1"/>
    <x v="22"/>
    <x v="2"/>
    <x v="4"/>
    <x v="14"/>
    <x v="526"/>
    <x v="2"/>
    <x v="526"/>
    <x v="1"/>
    <x v="2"/>
    <x v="8"/>
  </r>
  <r>
    <s v="ORD-10437"/>
    <d v="2025-09-01T00:00:00"/>
    <x v="4"/>
    <x v="7"/>
    <x v="26"/>
    <x v="1"/>
    <x v="3"/>
    <x v="3"/>
    <x v="527"/>
    <x v="4"/>
    <x v="527"/>
    <x v="2"/>
    <x v="2"/>
    <x v="8"/>
  </r>
  <r>
    <s v="ORD-10526"/>
    <d v="2025-09-01T00:00:00"/>
    <x v="2"/>
    <x v="8"/>
    <x v="17"/>
    <x v="1"/>
    <x v="11"/>
    <x v="17"/>
    <x v="528"/>
    <x v="1"/>
    <x v="528"/>
    <x v="0"/>
    <x v="2"/>
    <x v="8"/>
  </r>
  <r>
    <s v="ORD-10046"/>
    <d v="2025-09-03T00:00:00"/>
    <x v="0"/>
    <x v="4"/>
    <x v="9"/>
    <x v="0"/>
    <x v="2"/>
    <x v="26"/>
    <x v="529"/>
    <x v="1"/>
    <x v="529"/>
    <x v="0"/>
    <x v="2"/>
    <x v="8"/>
  </r>
  <r>
    <s v="ORD-10453"/>
    <d v="2025-09-03T00:00:00"/>
    <x v="10"/>
    <x v="2"/>
    <x v="2"/>
    <x v="1"/>
    <x v="11"/>
    <x v="17"/>
    <x v="530"/>
    <x v="4"/>
    <x v="530"/>
    <x v="0"/>
    <x v="2"/>
    <x v="8"/>
  </r>
  <r>
    <s v="ORD-10369"/>
    <d v="2025-09-08T00:00:00"/>
    <x v="8"/>
    <x v="3"/>
    <x v="4"/>
    <x v="2"/>
    <x v="9"/>
    <x v="9"/>
    <x v="531"/>
    <x v="3"/>
    <x v="531"/>
    <x v="0"/>
    <x v="2"/>
    <x v="8"/>
  </r>
  <r>
    <s v="ORD-10438"/>
    <d v="2025-09-11T00:00:00"/>
    <x v="2"/>
    <x v="3"/>
    <x v="20"/>
    <x v="0"/>
    <x v="1"/>
    <x v="1"/>
    <x v="532"/>
    <x v="2"/>
    <x v="532"/>
    <x v="2"/>
    <x v="2"/>
    <x v="8"/>
  </r>
  <r>
    <s v="ORD-10561"/>
    <d v="2025-09-11T00:00:00"/>
    <x v="7"/>
    <x v="8"/>
    <x v="17"/>
    <x v="0"/>
    <x v="5"/>
    <x v="5"/>
    <x v="533"/>
    <x v="6"/>
    <x v="533"/>
    <x v="2"/>
    <x v="2"/>
    <x v="8"/>
  </r>
  <r>
    <s v="ORD-10327"/>
    <d v="2025-09-13T00:00:00"/>
    <x v="15"/>
    <x v="0"/>
    <x v="0"/>
    <x v="2"/>
    <x v="9"/>
    <x v="9"/>
    <x v="534"/>
    <x v="0"/>
    <x v="534"/>
    <x v="0"/>
    <x v="2"/>
    <x v="8"/>
  </r>
  <r>
    <s v="ORD-10374"/>
    <d v="2025-09-14T00:00:00"/>
    <x v="13"/>
    <x v="1"/>
    <x v="22"/>
    <x v="2"/>
    <x v="9"/>
    <x v="28"/>
    <x v="535"/>
    <x v="4"/>
    <x v="535"/>
    <x v="0"/>
    <x v="2"/>
    <x v="8"/>
  </r>
  <r>
    <s v="ORD-10375"/>
    <d v="2025-09-14T00:00:00"/>
    <x v="0"/>
    <x v="5"/>
    <x v="7"/>
    <x v="0"/>
    <x v="0"/>
    <x v="23"/>
    <x v="536"/>
    <x v="0"/>
    <x v="536"/>
    <x v="1"/>
    <x v="2"/>
    <x v="8"/>
  </r>
  <r>
    <s v="ORD-10487"/>
    <d v="2025-09-14T00:00:00"/>
    <x v="12"/>
    <x v="3"/>
    <x v="20"/>
    <x v="0"/>
    <x v="7"/>
    <x v="7"/>
    <x v="537"/>
    <x v="2"/>
    <x v="537"/>
    <x v="1"/>
    <x v="2"/>
    <x v="8"/>
  </r>
  <r>
    <s v="ORD-10200"/>
    <d v="2025-09-16T00:00:00"/>
    <x v="5"/>
    <x v="8"/>
    <x v="17"/>
    <x v="2"/>
    <x v="4"/>
    <x v="14"/>
    <x v="538"/>
    <x v="7"/>
    <x v="538"/>
    <x v="1"/>
    <x v="2"/>
    <x v="8"/>
  </r>
  <r>
    <s v="ORD-10060"/>
    <d v="2025-09-18T00:00:00"/>
    <x v="8"/>
    <x v="0"/>
    <x v="10"/>
    <x v="2"/>
    <x v="12"/>
    <x v="12"/>
    <x v="539"/>
    <x v="0"/>
    <x v="539"/>
    <x v="0"/>
    <x v="2"/>
    <x v="8"/>
  </r>
  <r>
    <s v="ORD-10077"/>
    <d v="2025-09-18T00:00:00"/>
    <x v="18"/>
    <x v="7"/>
    <x v="14"/>
    <x v="2"/>
    <x v="4"/>
    <x v="4"/>
    <x v="540"/>
    <x v="3"/>
    <x v="540"/>
    <x v="0"/>
    <x v="2"/>
    <x v="8"/>
  </r>
  <r>
    <s v="ORD-10532"/>
    <d v="2025-09-19T00:00:00"/>
    <x v="7"/>
    <x v="3"/>
    <x v="28"/>
    <x v="0"/>
    <x v="7"/>
    <x v="7"/>
    <x v="541"/>
    <x v="3"/>
    <x v="541"/>
    <x v="0"/>
    <x v="2"/>
    <x v="8"/>
  </r>
  <r>
    <s v="ORD-10021"/>
    <d v="2025-09-21T00:00:00"/>
    <x v="2"/>
    <x v="5"/>
    <x v="13"/>
    <x v="1"/>
    <x v="3"/>
    <x v="21"/>
    <x v="542"/>
    <x v="1"/>
    <x v="542"/>
    <x v="1"/>
    <x v="2"/>
    <x v="8"/>
  </r>
  <r>
    <s v="ORD-10424"/>
    <d v="2025-09-21T00:00:00"/>
    <x v="16"/>
    <x v="8"/>
    <x v="17"/>
    <x v="1"/>
    <x v="11"/>
    <x v="11"/>
    <x v="543"/>
    <x v="4"/>
    <x v="543"/>
    <x v="0"/>
    <x v="2"/>
    <x v="8"/>
  </r>
  <r>
    <s v="ORD-10543"/>
    <d v="2025-09-22T00:00:00"/>
    <x v="10"/>
    <x v="7"/>
    <x v="15"/>
    <x v="1"/>
    <x v="10"/>
    <x v="24"/>
    <x v="544"/>
    <x v="3"/>
    <x v="544"/>
    <x v="2"/>
    <x v="2"/>
    <x v="8"/>
  </r>
  <r>
    <s v="ORD-10022"/>
    <d v="2025-09-23T00:00:00"/>
    <x v="2"/>
    <x v="8"/>
    <x v="27"/>
    <x v="0"/>
    <x v="5"/>
    <x v="20"/>
    <x v="545"/>
    <x v="1"/>
    <x v="545"/>
    <x v="0"/>
    <x v="2"/>
    <x v="8"/>
  </r>
  <r>
    <s v="ORD-10485"/>
    <d v="2025-09-25T00:00:00"/>
    <x v="12"/>
    <x v="0"/>
    <x v="3"/>
    <x v="1"/>
    <x v="10"/>
    <x v="24"/>
    <x v="546"/>
    <x v="3"/>
    <x v="546"/>
    <x v="0"/>
    <x v="2"/>
    <x v="8"/>
  </r>
  <r>
    <s v="ORD-10519"/>
    <d v="2025-09-28T00:00:00"/>
    <x v="12"/>
    <x v="4"/>
    <x v="5"/>
    <x v="1"/>
    <x v="3"/>
    <x v="21"/>
    <x v="547"/>
    <x v="0"/>
    <x v="547"/>
    <x v="1"/>
    <x v="2"/>
    <x v="9"/>
  </r>
  <r>
    <s v="ORD-10100"/>
    <d v="2025-10-01T00:00:00"/>
    <x v="12"/>
    <x v="8"/>
    <x v="17"/>
    <x v="0"/>
    <x v="5"/>
    <x v="20"/>
    <x v="548"/>
    <x v="4"/>
    <x v="548"/>
    <x v="1"/>
    <x v="2"/>
    <x v="9"/>
  </r>
  <r>
    <s v="ORD-10198"/>
    <d v="2025-10-01T00:00:00"/>
    <x v="3"/>
    <x v="5"/>
    <x v="25"/>
    <x v="2"/>
    <x v="13"/>
    <x v="15"/>
    <x v="549"/>
    <x v="3"/>
    <x v="549"/>
    <x v="1"/>
    <x v="2"/>
    <x v="9"/>
  </r>
  <r>
    <s v="ORD-10285"/>
    <d v="2025-10-02T00:00:00"/>
    <x v="4"/>
    <x v="7"/>
    <x v="26"/>
    <x v="1"/>
    <x v="11"/>
    <x v="11"/>
    <x v="550"/>
    <x v="1"/>
    <x v="550"/>
    <x v="0"/>
    <x v="2"/>
    <x v="9"/>
  </r>
  <r>
    <s v="ORD-10391"/>
    <d v="2025-10-02T00:00:00"/>
    <x v="10"/>
    <x v="1"/>
    <x v="1"/>
    <x v="2"/>
    <x v="13"/>
    <x v="15"/>
    <x v="551"/>
    <x v="5"/>
    <x v="551"/>
    <x v="0"/>
    <x v="2"/>
    <x v="9"/>
  </r>
  <r>
    <s v="ORD-10382"/>
    <d v="2025-10-09T00:00:00"/>
    <x v="5"/>
    <x v="3"/>
    <x v="4"/>
    <x v="2"/>
    <x v="13"/>
    <x v="19"/>
    <x v="552"/>
    <x v="2"/>
    <x v="552"/>
    <x v="1"/>
    <x v="2"/>
    <x v="9"/>
  </r>
  <r>
    <s v="ORD-10537"/>
    <d v="2025-10-11T00:00:00"/>
    <x v="12"/>
    <x v="3"/>
    <x v="20"/>
    <x v="0"/>
    <x v="5"/>
    <x v="5"/>
    <x v="553"/>
    <x v="3"/>
    <x v="553"/>
    <x v="0"/>
    <x v="2"/>
    <x v="9"/>
  </r>
  <r>
    <s v="ORD-10139"/>
    <d v="2025-10-13T00:00:00"/>
    <x v="0"/>
    <x v="3"/>
    <x v="20"/>
    <x v="0"/>
    <x v="5"/>
    <x v="20"/>
    <x v="554"/>
    <x v="2"/>
    <x v="554"/>
    <x v="1"/>
    <x v="2"/>
    <x v="9"/>
  </r>
  <r>
    <s v="ORD-10252"/>
    <d v="2025-10-13T00:00:00"/>
    <x v="10"/>
    <x v="9"/>
    <x v="18"/>
    <x v="2"/>
    <x v="12"/>
    <x v="12"/>
    <x v="555"/>
    <x v="2"/>
    <x v="555"/>
    <x v="0"/>
    <x v="2"/>
    <x v="9"/>
  </r>
  <r>
    <s v="ORD-10320"/>
    <d v="2025-10-13T00:00:00"/>
    <x v="1"/>
    <x v="0"/>
    <x v="0"/>
    <x v="0"/>
    <x v="8"/>
    <x v="13"/>
    <x v="556"/>
    <x v="7"/>
    <x v="556"/>
    <x v="0"/>
    <x v="2"/>
    <x v="9"/>
  </r>
  <r>
    <s v="ORD-10157"/>
    <d v="2025-10-17T00:00:00"/>
    <x v="19"/>
    <x v="6"/>
    <x v="8"/>
    <x v="2"/>
    <x v="13"/>
    <x v="19"/>
    <x v="557"/>
    <x v="2"/>
    <x v="557"/>
    <x v="2"/>
    <x v="2"/>
    <x v="9"/>
  </r>
  <r>
    <s v="ORD-10249"/>
    <d v="2025-10-23T00:00:00"/>
    <x v="7"/>
    <x v="7"/>
    <x v="15"/>
    <x v="1"/>
    <x v="11"/>
    <x v="17"/>
    <x v="558"/>
    <x v="5"/>
    <x v="558"/>
    <x v="1"/>
    <x v="2"/>
    <x v="9"/>
  </r>
  <r>
    <s v="ORD-10166"/>
    <d v="2025-10-24T00:00:00"/>
    <x v="1"/>
    <x v="3"/>
    <x v="28"/>
    <x v="0"/>
    <x v="1"/>
    <x v="1"/>
    <x v="559"/>
    <x v="1"/>
    <x v="559"/>
    <x v="2"/>
    <x v="2"/>
    <x v="9"/>
  </r>
  <r>
    <s v="ORD-10201"/>
    <d v="2025-10-25T00:00:00"/>
    <x v="3"/>
    <x v="8"/>
    <x v="17"/>
    <x v="2"/>
    <x v="13"/>
    <x v="15"/>
    <x v="560"/>
    <x v="7"/>
    <x v="560"/>
    <x v="1"/>
    <x v="2"/>
    <x v="9"/>
  </r>
  <r>
    <s v="ORD-10150"/>
    <d v="2025-10-26T00:00:00"/>
    <x v="16"/>
    <x v="5"/>
    <x v="25"/>
    <x v="2"/>
    <x v="12"/>
    <x v="12"/>
    <x v="561"/>
    <x v="1"/>
    <x v="561"/>
    <x v="0"/>
    <x v="2"/>
    <x v="9"/>
  </r>
  <r>
    <s v="ORD-10353"/>
    <d v="2025-10-26T00:00:00"/>
    <x v="11"/>
    <x v="2"/>
    <x v="2"/>
    <x v="2"/>
    <x v="9"/>
    <x v="28"/>
    <x v="562"/>
    <x v="6"/>
    <x v="562"/>
    <x v="0"/>
    <x v="2"/>
    <x v="9"/>
  </r>
  <r>
    <s v="ORD-10099"/>
    <d v="2025-10-28T00:00:00"/>
    <x v="13"/>
    <x v="9"/>
    <x v="24"/>
    <x v="0"/>
    <x v="8"/>
    <x v="13"/>
    <x v="563"/>
    <x v="3"/>
    <x v="563"/>
    <x v="0"/>
    <x v="2"/>
    <x v="9"/>
  </r>
  <r>
    <s v="ORD-10316"/>
    <d v="2025-10-30T00:00:00"/>
    <x v="16"/>
    <x v="8"/>
    <x v="17"/>
    <x v="1"/>
    <x v="3"/>
    <x v="21"/>
    <x v="564"/>
    <x v="7"/>
    <x v="564"/>
    <x v="0"/>
    <x v="2"/>
    <x v="10"/>
  </r>
  <r>
    <s v="ORD-10028"/>
    <d v="2025-11-01T00:00:00"/>
    <x v="14"/>
    <x v="7"/>
    <x v="14"/>
    <x v="1"/>
    <x v="10"/>
    <x v="10"/>
    <x v="565"/>
    <x v="5"/>
    <x v="565"/>
    <x v="1"/>
    <x v="2"/>
    <x v="10"/>
  </r>
  <r>
    <s v="ORD-10307"/>
    <d v="2025-11-04T00:00:00"/>
    <x v="3"/>
    <x v="0"/>
    <x v="0"/>
    <x v="2"/>
    <x v="12"/>
    <x v="16"/>
    <x v="566"/>
    <x v="6"/>
    <x v="566"/>
    <x v="0"/>
    <x v="2"/>
    <x v="10"/>
  </r>
  <r>
    <s v="ORD-10023"/>
    <d v="2025-11-06T00:00:00"/>
    <x v="3"/>
    <x v="0"/>
    <x v="10"/>
    <x v="1"/>
    <x v="6"/>
    <x v="18"/>
    <x v="567"/>
    <x v="7"/>
    <x v="567"/>
    <x v="0"/>
    <x v="2"/>
    <x v="10"/>
  </r>
  <r>
    <s v="ORD-10335"/>
    <d v="2025-11-07T00:00:00"/>
    <x v="8"/>
    <x v="1"/>
    <x v="11"/>
    <x v="2"/>
    <x v="9"/>
    <x v="9"/>
    <x v="568"/>
    <x v="3"/>
    <x v="568"/>
    <x v="0"/>
    <x v="2"/>
    <x v="10"/>
  </r>
  <r>
    <s v="ORD-10075"/>
    <d v="2025-11-08T00:00:00"/>
    <x v="7"/>
    <x v="9"/>
    <x v="24"/>
    <x v="1"/>
    <x v="3"/>
    <x v="3"/>
    <x v="569"/>
    <x v="5"/>
    <x v="569"/>
    <x v="0"/>
    <x v="2"/>
    <x v="10"/>
  </r>
  <r>
    <s v="ORD-10341"/>
    <d v="2025-11-12T00:00:00"/>
    <x v="4"/>
    <x v="2"/>
    <x v="16"/>
    <x v="2"/>
    <x v="12"/>
    <x v="16"/>
    <x v="570"/>
    <x v="0"/>
    <x v="570"/>
    <x v="0"/>
    <x v="2"/>
    <x v="10"/>
  </r>
  <r>
    <s v="ORD-10035"/>
    <d v="2025-11-13T00:00:00"/>
    <x v="15"/>
    <x v="2"/>
    <x v="6"/>
    <x v="0"/>
    <x v="1"/>
    <x v="27"/>
    <x v="571"/>
    <x v="1"/>
    <x v="571"/>
    <x v="0"/>
    <x v="2"/>
    <x v="10"/>
  </r>
  <r>
    <s v="ORD-10321"/>
    <d v="2025-11-13T00:00:00"/>
    <x v="16"/>
    <x v="9"/>
    <x v="18"/>
    <x v="2"/>
    <x v="4"/>
    <x v="4"/>
    <x v="572"/>
    <x v="4"/>
    <x v="572"/>
    <x v="0"/>
    <x v="2"/>
    <x v="10"/>
  </r>
  <r>
    <s v="ORD-10578"/>
    <d v="2025-11-13T00:00:00"/>
    <x v="6"/>
    <x v="3"/>
    <x v="4"/>
    <x v="0"/>
    <x v="1"/>
    <x v="27"/>
    <x v="573"/>
    <x v="3"/>
    <x v="573"/>
    <x v="0"/>
    <x v="2"/>
    <x v="10"/>
  </r>
  <r>
    <s v="ORD-10356"/>
    <d v="2025-11-15T00:00:00"/>
    <x v="3"/>
    <x v="7"/>
    <x v="15"/>
    <x v="2"/>
    <x v="13"/>
    <x v="19"/>
    <x v="574"/>
    <x v="1"/>
    <x v="574"/>
    <x v="0"/>
    <x v="2"/>
    <x v="10"/>
  </r>
  <r>
    <s v="ORD-10343"/>
    <d v="2025-11-18T00:00:00"/>
    <x v="15"/>
    <x v="7"/>
    <x v="26"/>
    <x v="1"/>
    <x v="11"/>
    <x v="11"/>
    <x v="575"/>
    <x v="2"/>
    <x v="575"/>
    <x v="0"/>
    <x v="2"/>
    <x v="10"/>
  </r>
  <r>
    <s v="ORD-10349"/>
    <d v="2025-11-18T00:00:00"/>
    <x v="16"/>
    <x v="1"/>
    <x v="11"/>
    <x v="0"/>
    <x v="1"/>
    <x v="1"/>
    <x v="576"/>
    <x v="6"/>
    <x v="576"/>
    <x v="0"/>
    <x v="2"/>
    <x v="10"/>
  </r>
  <r>
    <s v="ORD-10237"/>
    <d v="2025-11-21T00:00:00"/>
    <x v="0"/>
    <x v="3"/>
    <x v="4"/>
    <x v="0"/>
    <x v="0"/>
    <x v="0"/>
    <x v="577"/>
    <x v="1"/>
    <x v="577"/>
    <x v="0"/>
    <x v="2"/>
    <x v="10"/>
  </r>
  <r>
    <s v="ORD-10128"/>
    <d v="2025-11-22T00:00:00"/>
    <x v="11"/>
    <x v="7"/>
    <x v="15"/>
    <x v="2"/>
    <x v="4"/>
    <x v="14"/>
    <x v="578"/>
    <x v="4"/>
    <x v="578"/>
    <x v="0"/>
    <x v="2"/>
    <x v="10"/>
  </r>
  <r>
    <s v="ORD-10257"/>
    <d v="2025-11-22T00:00:00"/>
    <x v="15"/>
    <x v="9"/>
    <x v="19"/>
    <x v="2"/>
    <x v="9"/>
    <x v="28"/>
    <x v="579"/>
    <x v="0"/>
    <x v="579"/>
    <x v="0"/>
    <x v="2"/>
    <x v="10"/>
  </r>
  <r>
    <s v="ORD-10457"/>
    <d v="2025-11-23T00:00:00"/>
    <x v="2"/>
    <x v="4"/>
    <x v="12"/>
    <x v="2"/>
    <x v="4"/>
    <x v="4"/>
    <x v="580"/>
    <x v="1"/>
    <x v="580"/>
    <x v="0"/>
    <x v="2"/>
    <x v="10"/>
  </r>
  <r>
    <s v="ORD-10458"/>
    <d v="2025-11-24T00:00:00"/>
    <x v="19"/>
    <x v="7"/>
    <x v="26"/>
    <x v="1"/>
    <x v="6"/>
    <x v="6"/>
    <x v="581"/>
    <x v="7"/>
    <x v="581"/>
    <x v="0"/>
    <x v="2"/>
    <x v="10"/>
  </r>
  <r>
    <s v="ORD-10305"/>
    <d v="2025-11-25T00:00:00"/>
    <x v="4"/>
    <x v="7"/>
    <x v="26"/>
    <x v="2"/>
    <x v="13"/>
    <x v="19"/>
    <x v="582"/>
    <x v="2"/>
    <x v="582"/>
    <x v="0"/>
    <x v="2"/>
    <x v="10"/>
  </r>
  <r>
    <s v="ORD-10242"/>
    <d v="2025-11-29T00:00:00"/>
    <x v="5"/>
    <x v="8"/>
    <x v="17"/>
    <x v="0"/>
    <x v="0"/>
    <x v="0"/>
    <x v="583"/>
    <x v="0"/>
    <x v="583"/>
    <x v="1"/>
    <x v="2"/>
    <x v="11"/>
  </r>
  <r>
    <s v="ORD-10479"/>
    <d v="2025-12-02T00:00:00"/>
    <x v="5"/>
    <x v="2"/>
    <x v="2"/>
    <x v="0"/>
    <x v="5"/>
    <x v="5"/>
    <x v="584"/>
    <x v="4"/>
    <x v="584"/>
    <x v="0"/>
    <x v="2"/>
    <x v="11"/>
  </r>
  <r>
    <s v="ORD-10222"/>
    <d v="2025-12-03T00:00:00"/>
    <x v="0"/>
    <x v="6"/>
    <x v="8"/>
    <x v="0"/>
    <x v="8"/>
    <x v="8"/>
    <x v="585"/>
    <x v="0"/>
    <x v="585"/>
    <x v="1"/>
    <x v="2"/>
    <x v="11"/>
  </r>
  <r>
    <s v="ORD-10373"/>
    <d v="2025-12-06T00:00:00"/>
    <x v="7"/>
    <x v="3"/>
    <x v="4"/>
    <x v="1"/>
    <x v="11"/>
    <x v="11"/>
    <x v="586"/>
    <x v="0"/>
    <x v="586"/>
    <x v="2"/>
    <x v="2"/>
    <x v="11"/>
  </r>
  <r>
    <s v="ORD-10450"/>
    <d v="2025-12-08T00:00:00"/>
    <x v="7"/>
    <x v="2"/>
    <x v="16"/>
    <x v="2"/>
    <x v="12"/>
    <x v="12"/>
    <x v="587"/>
    <x v="5"/>
    <x v="587"/>
    <x v="0"/>
    <x v="2"/>
    <x v="11"/>
  </r>
  <r>
    <s v="ORD-10114"/>
    <d v="2025-12-09T00:00:00"/>
    <x v="15"/>
    <x v="9"/>
    <x v="24"/>
    <x v="1"/>
    <x v="3"/>
    <x v="3"/>
    <x v="588"/>
    <x v="1"/>
    <x v="588"/>
    <x v="0"/>
    <x v="2"/>
    <x v="11"/>
  </r>
  <r>
    <s v="ORD-10403"/>
    <d v="2025-12-09T00:00:00"/>
    <x v="16"/>
    <x v="9"/>
    <x v="24"/>
    <x v="2"/>
    <x v="9"/>
    <x v="28"/>
    <x v="589"/>
    <x v="1"/>
    <x v="589"/>
    <x v="0"/>
    <x v="2"/>
    <x v="11"/>
  </r>
  <r>
    <s v="ORD-10435"/>
    <d v="2025-12-09T00:00:00"/>
    <x v="18"/>
    <x v="2"/>
    <x v="2"/>
    <x v="2"/>
    <x v="4"/>
    <x v="4"/>
    <x v="590"/>
    <x v="5"/>
    <x v="590"/>
    <x v="0"/>
    <x v="2"/>
    <x v="11"/>
  </r>
  <r>
    <s v="ORD-10456"/>
    <d v="2025-12-11T00:00:00"/>
    <x v="10"/>
    <x v="3"/>
    <x v="4"/>
    <x v="1"/>
    <x v="6"/>
    <x v="6"/>
    <x v="591"/>
    <x v="1"/>
    <x v="591"/>
    <x v="0"/>
    <x v="2"/>
    <x v="11"/>
  </r>
  <r>
    <s v="ORD-10134"/>
    <d v="2025-12-13T00:00:00"/>
    <x v="10"/>
    <x v="6"/>
    <x v="21"/>
    <x v="2"/>
    <x v="9"/>
    <x v="9"/>
    <x v="592"/>
    <x v="4"/>
    <x v="592"/>
    <x v="2"/>
    <x v="2"/>
    <x v="11"/>
  </r>
  <r>
    <s v="ORD-10123"/>
    <d v="2025-12-14T00:00:00"/>
    <x v="7"/>
    <x v="7"/>
    <x v="14"/>
    <x v="0"/>
    <x v="1"/>
    <x v="27"/>
    <x v="593"/>
    <x v="2"/>
    <x v="593"/>
    <x v="0"/>
    <x v="2"/>
    <x v="11"/>
  </r>
  <r>
    <s v="ORD-10498"/>
    <d v="2025-12-14T00:00:00"/>
    <x v="19"/>
    <x v="9"/>
    <x v="19"/>
    <x v="0"/>
    <x v="1"/>
    <x v="1"/>
    <x v="594"/>
    <x v="2"/>
    <x v="594"/>
    <x v="0"/>
    <x v="2"/>
    <x v="11"/>
  </r>
  <r>
    <s v="ORD-10204"/>
    <d v="2025-12-17T00:00:00"/>
    <x v="9"/>
    <x v="6"/>
    <x v="23"/>
    <x v="0"/>
    <x v="5"/>
    <x v="20"/>
    <x v="595"/>
    <x v="4"/>
    <x v="595"/>
    <x v="0"/>
    <x v="2"/>
    <x v="11"/>
  </r>
  <r>
    <s v="ORD-10547"/>
    <d v="2025-12-21T00:00:00"/>
    <x v="19"/>
    <x v="3"/>
    <x v="20"/>
    <x v="0"/>
    <x v="1"/>
    <x v="27"/>
    <x v="596"/>
    <x v="3"/>
    <x v="596"/>
    <x v="2"/>
    <x v="2"/>
    <x v="11"/>
  </r>
  <r>
    <s v="ORD-10101"/>
    <d v="2025-12-22T00:00:00"/>
    <x v="19"/>
    <x v="9"/>
    <x v="18"/>
    <x v="0"/>
    <x v="2"/>
    <x v="2"/>
    <x v="597"/>
    <x v="1"/>
    <x v="597"/>
    <x v="0"/>
    <x v="2"/>
    <x v="11"/>
  </r>
  <r>
    <s v="ORD-10427"/>
    <d v="2025-12-24T00:00:00"/>
    <x v="2"/>
    <x v="7"/>
    <x v="15"/>
    <x v="1"/>
    <x v="11"/>
    <x v="11"/>
    <x v="598"/>
    <x v="0"/>
    <x v="598"/>
    <x v="1"/>
    <x v="2"/>
    <x v="11"/>
  </r>
  <r>
    <s v="ORD-10238"/>
    <d v="2025-12-30T00:00:00"/>
    <x v="2"/>
    <x v="9"/>
    <x v="19"/>
    <x v="0"/>
    <x v="1"/>
    <x v="27"/>
    <x v="599"/>
    <x v="4"/>
    <x v="599"/>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040B3-B426-49BF-B7FA-4A26BF069663}"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7" firstHeaderRow="1" firstDataRow="2" firstDataCol="1"/>
  <pivotFields count="14">
    <pivotField showAll="0"/>
    <pivotField numFmtId="14" showAll="0"/>
    <pivotField showAll="0" measureFilter="1">
      <items count="21">
        <item x="8"/>
        <item x="14"/>
        <item x="6"/>
        <item x="16"/>
        <item x="5"/>
        <item x="1"/>
        <item x="4"/>
        <item x="0"/>
        <item x="15"/>
        <item x="2"/>
        <item x="3"/>
        <item x="11"/>
        <item x="19"/>
        <item x="13"/>
        <item x="9"/>
        <item x="10"/>
        <item x="17"/>
        <item x="18"/>
        <item x="12"/>
        <item x="7"/>
        <item t="default"/>
      </items>
    </pivotField>
    <pivotField showAll="0">
      <items count="11">
        <item x="5"/>
        <item x="8"/>
        <item x="1"/>
        <item x="4"/>
        <item x="3"/>
        <item x="7"/>
        <item x="6"/>
        <item x="2"/>
        <item x="9"/>
        <item x="0"/>
        <item t="default"/>
      </items>
    </pivotField>
    <pivotField showAll="0"/>
    <pivotField showAll="0">
      <items count="4">
        <item x="1"/>
        <item x="0"/>
        <item x="2"/>
        <item t="default"/>
      </items>
    </pivotField>
    <pivotField showAll="0"/>
    <pivotField showAll="0"/>
    <pivotField numFmtId="2" showAll="0"/>
    <pivotField numFmtId="1" showAll="0">
      <items count="9">
        <item x="7"/>
        <item x="4"/>
        <item x="2"/>
        <item x="0"/>
        <item x="5"/>
        <item x="6"/>
        <item x="1"/>
        <item x="3"/>
        <item t="default"/>
      </items>
    </pivotField>
    <pivotField dataField="1" numFmtId="2" showAll="0"/>
    <pivotField axis="axisCol" showAll="0">
      <items count="4">
        <item x="2"/>
        <item x="0"/>
        <item x="1"/>
        <item t="default"/>
      </items>
    </pivotField>
    <pivotField showAll="0">
      <items count="4">
        <item x="0"/>
        <item x="1"/>
        <item x="2"/>
        <item t="default"/>
      </items>
    </pivotField>
    <pivotField axis="axisRow"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Sum of Profit" fld="10" baseField="0" baseItem="0" numFmtId="2"/>
  </dataFields>
  <chartFormats count="4">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11" count="1" selected="0">
            <x v="1"/>
          </reference>
        </references>
      </pivotArea>
    </chartFormat>
    <chartFormat chart="7" format="9" series="1">
      <pivotArea type="data" outline="0" fieldPosition="0">
        <references count="2">
          <reference field="4294967294" count="1" selected="0">
            <x v="0"/>
          </reference>
          <reference field="11" count="1" selected="0">
            <x v="2"/>
          </reference>
        </references>
      </pivotArea>
    </chartFormat>
    <chartFormat chart="7" format="10"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C7D3A-7BF0-4004-B12E-42CC803E714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numFmtId="14" showAll="0"/>
    <pivotField showAll="0"/>
    <pivotField showAll="0">
      <items count="11">
        <item x="5"/>
        <item x="8"/>
        <item x="1"/>
        <item x="4"/>
        <item x="3"/>
        <item x="7"/>
        <item x="6"/>
        <item x="2"/>
        <item x="9"/>
        <item x="0"/>
        <item t="default"/>
      </items>
    </pivotField>
    <pivotField showAll="0"/>
    <pivotField axis="axisRow" showAll="0">
      <items count="4">
        <item x="1"/>
        <item x="0"/>
        <item x="2"/>
        <item t="default"/>
      </items>
    </pivotField>
    <pivotField showAll="0"/>
    <pivotField showAll="0"/>
    <pivotField numFmtId="2" showAll="0"/>
    <pivotField numFmtId="1" showAll="0">
      <items count="9">
        <item x="7"/>
        <item x="4"/>
        <item x="2"/>
        <item x="0"/>
        <item x="5"/>
        <item x="6"/>
        <item x="1"/>
        <item x="3"/>
        <item t="default"/>
      </items>
    </pivotField>
    <pivotField dataField="1" numFmtId="2" showAll="0"/>
    <pivotField showAll="0"/>
    <pivotField showAll="0">
      <items count="4">
        <item x="0"/>
        <item x="1"/>
        <item x="2"/>
        <item t="default"/>
      </items>
    </pivotField>
    <pivotField showAll="0"/>
  </pivotFields>
  <rowFields count="1">
    <field x="5"/>
  </rowFields>
  <rowItems count="4">
    <i>
      <x/>
    </i>
    <i>
      <x v="1"/>
    </i>
    <i>
      <x v="2"/>
    </i>
    <i t="grand">
      <x/>
    </i>
  </rowItems>
  <colItems count="1">
    <i/>
  </colItems>
  <dataFields count="1">
    <dataField name="Sum of Profit" fld="10" baseField="0" baseItem="0" numFmtId="2"/>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85E2B-50B7-496D-9678-B4CF47D269A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showAll="0"/>
    <pivotField numFmtId="14" showAll="0"/>
    <pivotField showAll="0"/>
    <pivotField showAll="0">
      <items count="11">
        <item x="5"/>
        <item x="8"/>
        <item x="1"/>
        <item x="4"/>
        <item x="3"/>
        <item x="7"/>
        <item x="6"/>
        <item x="2"/>
        <item x="9"/>
        <item x="0"/>
        <item t="default"/>
      </items>
    </pivotField>
    <pivotField showAll="0"/>
    <pivotField showAll="0">
      <items count="4">
        <item x="1"/>
        <item x="0"/>
        <item x="2"/>
        <item t="default"/>
      </items>
    </pivotField>
    <pivotField showAll="0"/>
    <pivotField axis="axisRow" showAll="0" measureFilter="1">
      <items count="30">
        <item x="7"/>
        <item x="5"/>
        <item x="10"/>
        <item x="11"/>
        <item x="4"/>
        <item x="15"/>
        <item x="9"/>
        <item x="27"/>
        <item x="6"/>
        <item x="18"/>
        <item x="22"/>
        <item x="13"/>
        <item x="24"/>
        <item x="23"/>
        <item x="20"/>
        <item x="21"/>
        <item x="19"/>
        <item x="12"/>
        <item x="16"/>
        <item x="28"/>
        <item x="26"/>
        <item x="3"/>
        <item x="1"/>
        <item x="17"/>
        <item x="14"/>
        <item x="2"/>
        <item x="8"/>
        <item x="25"/>
        <item x="0"/>
        <item t="default"/>
      </items>
    </pivotField>
    <pivotField numFmtId="2" showAll="0"/>
    <pivotField dataField="1" numFmtId="1" showAll="0">
      <items count="9">
        <item x="7"/>
        <item x="4"/>
        <item x="2"/>
        <item x="0"/>
        <item x="5"/>
        <item x="6"/>
        <item x="1"/>
        <item x="3"/>
        <item t="default"/>
      </items>
    </pivotField>
    <pivotField numFmtId="2" showAll="0"/>
    <pivotField showAll="0"/>
    <pivotField showAll="0">
      <items count="4">
        <item x="0"/>
        <item x="1"/>
        <item x="2"/>
        <item t="default"/>
      </items>
    </pivotField>
    <pivotField showAll="0"/>
  </pivotFields>
  <rowFields count="1">
    <field x="7"/>
  </rowFields>
  <rowItems count="11">
    <i>
      <x v="3"/>
    </i>
    <i>
      <x v="5"/>
    </i>
    <i>
      <x v="6"/>
    </i>
    <i>
      <x v="12"/>
    </i>
    <i>
      <x v="16"/>
    </i>
    <i>
      <x v="18"/>
    </i>
    <i>
      <x v="19"/>
    </i>
    <i>
      <x v="20"/>
    </i>
    <i>
      <x v="24"/>
    </i>
    <i>
      <x v="25"/>
    </i>
    <i t="grand">
      <x/>
    </i>
  </rowItems>
  <colItems count="1">
    <i/>
  </colItems>
  <dataFields count="1">
    <dataField name="Sum of Quantity" fld="9" baseField="0" baseItem="0" numFmtId="1"/>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233316-7F6F-4DE9-A4C5-CFA38FC0E2E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4">
    <pivotField showAll="0"/>
    <pivotField numFmtId="14" showAll="0"/>
    <pivotField showAll="0"/>
    <pivotField axis="axisRow" showAll="0">
      <items count="11">
        <item x="5"/>
        <item x="8"/>
        <item x="1"/>
        <item x="4"/>
        <item x="3"/>
        <item x="7"/>
        <item x="6"/>
        <item x="2"/>
        <item x="9"/>
        <item x="0"/>
        <item t="default"/>
      </items>
    </pivotField>
    <pivotField showAll="0"/>
    <pivotField showAll="0">
      <items count="4">
        <item x="1"/>
        <item x="0"/>
        <item x="2"/>
        <item t="default"/>
      </items>
    </pivotField>
    <pivotField showAll="0"/>
    <pivotField showAll="0"/>
    <pivotField dataField="1" numFmtId="2" showAll="0"/>
    <pivotField numFmtId="1" showAll="0">
      <items count="9">
        <item x="7"/>
        <item x="4"/>
        <item x="2"/>
        <item x="0"/>
        <item x="5"/>
        <item x="6"/>
        <item x="1"/>
        <item x="3"/>
        <item t="default"/>
      </items>
    </pivotField>
    <pivotField numFmtId="2" showAll="0"/>
    <pivotField showAll="0"/>
    <pivotField showAll="0">
      <items count="4">
        <item x="0"/>
        <item x="1"/>
        <item x="2"/>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08B89F-23BB-445C-BD35-657DCD0CD9E5}"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C35" firstHeaderRow="1" firstDataRow="1" firstDataCol="1"/>
  <pivotFields count="14">
    <pivotField showAll="0"/>
    <pivotField numFmtId="14" showAll="0"/>
    <pivotField showAll="0"/>
    <pivotField axis="axisRow" showAll="0">
      <items count="11">
        <item x="5"/>
        <item x="8"/>
        <item x="1"/>
        <item x="4"/>
        <item x="3"/>
        <item x="7"/>
        <item x="6"/>
        <item x="2"/>
        <item x="9"/>
        <item x="0"/>
        <item t="default"/>
      </items>
    </pivotField>
    <pivotField showAll="0"/>
    <pivotField showAll="0">
      <items count="4">
        <item x="1"/>
        <item x="0"/>
        <item x="2"/>
        <item t="default"/>
      </items>
    </pivotField>
    <pivotField showAll="0"/>
    <pivotField showAll="0"/>
    <pivotField dataField="1" numFmtId="2" showAll="0"/>
    <pivotField numFmtId="1" showAll="0">
      <items count="9">
        <item x="7"/>
        <item x="4"/>
        <item x="2"/>
        <item x="0"/>
        <item x="5"/>
        <item x="6"/>
        <item x="1"/>
        <item x="3"/>
        <item t="default"/>
      </items>
    </pivotField>
    <pivotField numFmtId="2" showAll="0"/>
    <pivotField showAll="0"/>
    <pivotField showAll="0">
      <items count="4">
        <item x="0"/>
        <item x="1"/>
        <item x="2"/>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43794-A6D7-485A-9F82-E0F0E9BE0019}"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0:N15" firstHeaderRow="1" firstDataRow="2" firstDataCol="1"/>
  <pivotFields count="14">
    <pivotField showAll="0"/>
    <pivotField numFmtId="14" showAll="0"/>
    <pivotField showAll="0" measureFilter="1">
      <items count="21">
        <item x="8"/>
        <item x="14"/>
        <item x="6"/>
        <item x="16"/>
        <item x="5"/>
        <item x="1"/>
        <item x="4"/>
        <item x="0"/>
        <item x="15"/>
        <item x="2"/>
        <item x="3"/>
        <item x="11"/>
        <item x="19"/>
        <item x="13"/>
        <item x="9"/>
        <item x="10"/>
        <item x="17"/>
        <item x="18"/>
        <item x="12"/>
        <item x="7"/>
        <item t="default"/>
      </items>
    </pivotField>
    <pivotField showAll="0">
      <items count="11">
        <item x="5"/>
        <item x="8"/>
        <item x="1"/>
        <item x="4"/>
        <item x="3"/>
        <item x="7"/>
        <item x="6"/>
        <item x="2"/>
        <item x="9"/>
        <item x="0"/>
        <item t="default"/>
      </items>
    </pivotField>
    <pivotField showAll="0"/>
    <pivotField showAll="0">
      <items count="4">
        <item x="1"/>
        <item x="0"/>
        <item x="2"/>
        <item t="default"/>
      </items>
    </pivotField>
    <pivotField showAll="0"/>
    <pivotField showAll="0"/>
    <pivotField numFmtId="2" showAll="0"/>
    <pivotField numFmtId="1" showAll="0">
      <items count="9">
        <item x="7"/>
        <item x="4"/>
        <item x="2"/>
        <item x="0"/>
        <item x="5"/>
        <item x="6"/>
        <item x="1"/>
        <item x="3"/>
        <item t="default"/>
      </items>
    </pivotField>
    <pivotField dataField="1" numFmtId="2" showAll="0"/>
    <pivotField axis="axisCol" showAll="0">
      <items count="4">
        <item x="2"/>
        <item x="0"/>
        <item x="1"/>
        <item t="default"/>
      </items>
    </pivotField>
    <pivotField axis="axisRow" showAll="0">
      <items count="4">
        <item x="0"/>
        <item x="1"/>
        <item x="2"/>
        <item t="default"/>
      </items>
    </pivotField>
    <pivotField showAll="0"/>
  </pivotFields>
  <rowFields count="1">
    <field x="12"/>
  </rowFields>
  <rowItems count="4">
    <i>
      <x/>
    </i>
    <i>
      <x v="1"/>
    </i>
    <i>
      <x v="2"/>
    </i>
    <i t="grand">
      <x/>
    </i>
  </rowItems>
  <colFields count="1">
    <field x="11"/>
  </colFields>
  <colItems count="4">
    <i>
      <x/>
    </i>
    <i>
      <x v="1"/>
    </i>
    <i>
      <x v="2"/>
    </i>
    <i t="grand">
      <x/>
    </i>
  </colItems>
  <dataFields count="1">
    <dataField name="Sum of Profit" fld="10" baseField="0" baseItem="0" numFmtId="2"/>
  </dataFields>
  <chartFormats count="6">
    <chartFormat chart="7"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11" count="1" selected="0">
            <x v="1"/>
          </reference>
        </references>
      </pivotArea>
    </chartFormat>
    <chartFormat chart="7" format="9" series="1">
      <pivotArea type="data" outline="0" fieldPosition="0">
        <references count="2">
          <reference field="4294967294" count="1" selected="0">
            <x v="0"/>
          </reference>
          <reference field="11" count="1" selected="0">
            <x v="2"/>
          </reference>
        </references>
      </pivotArea>
    </chartFormat>
    <chartFormat chart="0" format="4" series="1">
      <pivotArea type="data" outline="0" fieldPosition="0">
        <references count="2">
          <reference field="4294967294" count="1" selected="0">
            <x v="0"/>
          </reference>
          <reference field="11" count="1" selected="0">
            <x v="1"/>
          </reference>
        </references>
      </pivotArea>
    </chartFormat>
    <chartFormat chart="0"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6F9A11-A26D-4271-9631-29CF5D247D7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0:H14" firstHeaderRow="1" firstDataRow="1" firstDataCol="1"/>
  <pivotFields count="14">
    <pivotField showAll="0"/>
    <pivotField numFmtId="14" showAll="0"/>
    <pivotField showAll="0"/>
    <pivotField showAll="0">
      <items count="11">
        <item x="5"/>
        <item x="8"/>
        <item x="1"/>
        <item x="4"/>
        <item x="3"/>
        <item x="7"/>
        <item x="6"/>
        <item x="2"/>
        <item x="9"/>
        <item x="0"/>
        <item t="default"/>
      </items>
    </pivotField>
    <pivotField showAll="0"/>
    <pivotField axis="axisRow" showAll="0">
      <items count="4">
        <item x="1"/>
        <item x="0"/>
        <item x="2"/>
        <item t="default"/>
      </items>
    </pivotField>
    <pivotField showAll="0"/>
    <pivotField showAll="0"/>
    <pivotField numFmtId="2" showAll="0"/>
    <pivotField numFmtId="1" showAll="0">
      <items count="9">
        <item x="7"/>
        <item x="4"/>
        <item x="2"/>
        <item x="0"/>
        <item x="5"/>
        <item x="6"/>
        <item x="1"/>
        <item x="3"/>
        <item t="default"/>
      </items>
    </pivotField>
    <pivotField dataField="1" numFmtId="2" showAll="0"/>
    <pivotField showAll="0"/>
    <pivotField showAll="0">
      <items count="4">
        <item x="0"/>
        <item x="1"/>
        <item x="2"/>
        <item t="default"/>
      </items>
    </pivotField>
    <pivotField showAll="0"/>
  </pivotFields>
  <rowFields count="1">
    <field x="5"/>
  </rowFields>
  <rowItems count="4">
    <i>
      <x/>
    </i>
    <i>
      <x v="1"/>
    </i>
    <i>
      <x v="2"/>
    </i>
    <i t="grand">
      <x/>
    </i>
  </rowItems>
  <colItems count="1">
    <i/>
  </colItems>
  <dataFields count="1">
    <dataField name="Sum of Profit" fld="10" baseField="0" baseItem="0" numFmtId="2"/>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7DBBCD-1EFE-4A23-A2A0-6C9725CCA2B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21" firstHeaderRow="1" firstDataRow="1" firstDataCol="1"/>
  <pivotFields count="14">
    <pivotField showAll="0"/>
    <pivotField numFmtId="14" showAll="0"/>
    <pivotField showAll="0"/>
    <pivotField showAll="0">
      <items count="11">
        <item x="5"/>
        <item x="8"/>
        <item x="1"/>
        <item x="4"/>
        <item x="3"/>
        <item x="7"/>
        <item x="6"/>
        <item x="2"/>
        <item x="9"/>
        <item x="0"/>
        <item t="default"/>
      </items>
    </pivotField>
    <pivotField showAll="0"/>
    <pivotField showAll="0">
      <items count="4">
        <item x="1"/>
        <item x="0"/>
        <item x="2"/>
        <item t="default"/>
      </items>
    </pivotField>
    <pivotField showAll="0"/>
    <pivotField axis="axisRow" showAll="0" measureFilter="1">
      <items count="30">
        <item x="7"/>
        <item x="5"/>
        <item x="10"/>
        <item x="11"/>
        <item x="4"/>
        <item x="15"/>
        <item x="9"/>
        <item x="27"/>
        <item x="6"/>
        <item x="18"/>
        <item x="22"/>
        <item x="13"/>
        <item x="24"/>
        <item x="23"/>
        <item x="20"/>
        <item x="21"/>
        <item x="19"/>
        <item x="12"/>
        <item x="16"/>
        <item x="28"/>
        <item x="26"/>
        <item x="3"/>
        <item x="1"/>
        <item x="17"/>
        <item x="14"/>
        <item x="2"/>
        <item x="8"/>
        <item x="25"/>
        <item x="0"/>
        <item t="default"/>
      </items>
    </pivotField>
    <pivotField numFmtId="2" showAll="0"/>
    <pivotField dataField="1" numFmtId="1" showAll="0">
      <items count="9">
        <item x="7"/>
        <item x="4"/>
        <item x="2"/>
        <item x="0"/>
        <item x="5"/>
        <item x="6"/>
        <item x="1"/>
        <item x="3"/>
        <item t="default"/>
      </items>
    </pivotField>
    <pivotField numFmtId="2" showAll="0"/>
    <pivotField showAll="0"/>
    <pivotField showAll="0"/>
    <pivotField showAll="0"/>
  </pivotFields>
  <rowFields count="1">
    <field x="7"/>
  </rowFields>
  <rowItems count="11">
    <i>
      <x v="3"/>
    </i>
    <i>
      <x v="5"/>
    </i>
    <i>
      <x v="6"/>
    </i>
    <i>
      <x v="12"/>
    </i>
    <i>
      <x v="16"/>
    </i>
    <i>
      <x v="18"/>
    </i>
    <i>
      <x v="19"/>
    </i>
    <i>
      <x v="20"/>
    </i>
    <i>
      <x v="24"/>
    </i>
    <i>
      <x v="25"/>
    </i>
    <i t="grand">
      <x/>
    </i>
  </rowItems>
  <colItems count="1">
    <i/>
  </colItems>
  <dataFields count="1">
    <dataField name="Sum of Quantity" fld="9" baseField="0" baseItem="0" numFmtId="1"/>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99406A-01CD-46AE-AB2E-B6327D5F9D3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21" firstHeaderRow="1" firstDataRow="1" firstDataCol="1"/>
  <pivotFields count="14">
    <pivotField showAll="0"/>
    <pivotField numFmtId="14" showAll="0"/>
    <pivotField showAll="0"/>
    <pivotField axis="axisRow" showAll="0">
      <items count="11">
        <item x="5"/>
        <item x="8"/>
        <item x="1"/>
        <item x="4"/>
        <item x="3"/>
        <item x="7"/>
        <item x="6"/>
        <item x="2"/>
        <item x="9"/>
        <item x="0"/>
        <item t="default"/>
      </items>
    </pivotField>
    <pivotField showAll="0">
      <items count="31">
        <item x="28"/>
        <item x="20"/>
        <item x="22"/>
        <item x="19"/>
        <item x="1"/>
        <item x="8"/>
        <item x="2"/>
        <item x="15"/>
        <item x="24"/>
        <item x="11"/>
        <item x="16"/>
        <item x="18"/>
        <item x="17"/>
        <item x="25"/>
        <item x="5"/>
        <item x="23"/>
        <item x="9"/>
        <item x="14"/>
        <item x="13"/>
        <item x="6"/>
        <item x="21"/>
        <item x="29"/>
        <item x="27"/>
        <item x="4"/>
        <item x="10"/>
        <item x="0"/>
        <item x="26"/>
        <item x="3"/>
        <item x="12"/>
        <item x="7"/>
        <item t="default"/>
      </items>
    </pivotField>
    <pivotField showAll="0">
      <items count="4">
        <item x="1"/>
        <item x="0"/>
        <item x="2"/>
        <item t="default"/>
      </items>
    </pivotField>
    <pivotField showAll="0"/>
    <pivotField showAll="0"/>
    <pivotField dataField="1" numFmtId="2" showAll="0"/>
    <pivotField numFmtId="1" showAll="0">
      <items count="9">
        <item x="7"/>
        <item x="4"/>
        <item x="2"/>
        <item x="0"/>
        <item x="5"/>
        <item x="6"/>
        <item x="1"/>
        <item x="3"/>
        <item t="default"/>
      </items>
    </pivotField>
    <pivotField numFmtId="2" showAll="0">
      <items count="601">
        <item x="36"/>
        <item x="367"/>
        <item x="91"/>
        <item x="353"/>
        <item x="564"/>
        <item x="132"/>
        <item x="453"/>
        <item x="560"/>
        <item x="250"/>
        <item x="77"/>
        <item x="232"/>
        <item x="73"/>
        <item x="194"/>
        <item x="261"/>
        <item x="156"/>
        <item x="362"/>
        <item x="47"/>
        <item x="357"/>
        <item x="530"/>
        <item x="169"/>
        <item x="230"/>
        <item x="171"/>
        <item x="308"/>
        <item x="108"/>
        <item x="468"/>
        <item x="428"/>
        <item x="418"/>
        <item x="162"/>
        <item x="60"/>
        <item x="494"/>
        <item x="51"/>
        <item x="470"/>
        <item x="80"/>
        <item x="116"/>
        <item x="224"/>
        <item x="324"/>
        <item x="315"/>
        <item x="245"/>
        <item x="264"/>
        <item x="222"/>
        <item x="583"/>
        <item x="294"/>
        <item x="351"/>
        <item x="504"/>
        <item x="34"/>
        <item x="316"/>
        <item x="514"/>
        <item x="221"/>
        <item x="231"/>
        <item x="558"/>
        <item x="595"/>
        <item x="521"/>
        <item x="329"/>
        <item x="443"/>
        <item x="365"/>
        <item x="26"/>
        <item x="378"/>
        <item x="384"/>
        <item x="106"/>
        <item x="376"/>
        <item x="340"/>
        <item x="198"/>
        <item x="23"/>
        <item x="407"/>
        <item x="382"/>
        <item x="55"/>
        <item x="389"/>
        <item x="192"/>
        <item x="100"/>
        <item x="556"/>
        <item x="142"/>
        <item x="442"/>
        <item x="170"/>
        <item x="189"/>
        <item x="69"/>
        <item x="78"/>
        <item x="323"/>
        <item x="467"/>
        <item x="212"/>
        <item x="217"/>
        <item x="131"/>
        <item x="109"/>
        <item x="419"/>
        <item x="538"/>
        <item x="310"/>
        <item x="557"/>
        <item x="371"/>
        <item x="167"/>
        <item x="486"/>
        <item x="92"/>
        <item x="72"/>
        <item x="341"/>
        <item x="276"/>
        <item x="543"/>
        <item x="22"/>
        <item x="348"/>
        <item x="129"/>
        <item x="336"/>
        <item x="403"/>
        <item x="570"/>
        <item x="450"/>
        <item x="441"/>
        <item x="522"/>
        <item x="425"/>
        <item x="242"/>
        <item x="286"/>
        <item x="146"/>
        <item x="525"/>
        <item x="298"/>
        <item x="457"/>
        <item x="183"/>
        <item x="567"/>
        <item x="200"/>
        <item x="593"/>
        <item x="140"/>
        <item x="513"/>
        <item x="13"/>
        <item x="333"/>
        <item x="531"/>
        <item x="249"/>
        <item x="57"/>
        <item x="480"/>
        <item x="319"/>
        <item x="581"/>
        <item x="290"/>
        <item x="122"/>
        <item x="327"/>
        <item x="84"/>
        <item x="105"/>
        <item x="251"/>
        <item x="179"/>
        <item x="207"/>
        <item x="314"/>
        <item x="552"/>
        <item x="15"/>
        <item x="393"/>
        <item x="180"/>
        <item x="260"/>
        <item x="262"/>
        <item x="21"/>
        <item x="226"/>
        <item x="240"/>
        <item x="476"/>
        <item x="9"/>
        <item x="599"/>
        <item x="5"/>
        <item x="448"/>
        <item x="65"/>
        <item x="534"/>
        <item x="506"/>
        <item x="104"/>
        <item x="143"/>
        <item x="547"/>
        <item x="572"/>
        <item x="16"/>
        <item x="147"/>
        <item x="464"/>
        <item x="526"/>
        <item x="155"/>
        <item x="474"/>
        <item x="62"/>
        <item x="114"/>
        <item x="463"/>
        <item x="452"/>
        <item x="184"/>
        <item x="28"/>
        <item x="472"/>
        <item x="297"/>
        <item x="311"/>
        <item x="123"/>
        <item x="358"/>
        <item x="309"/>
        <item x="320"/>
        <item x="399"/>
        <item x="113"/>
        <item x="206"/>
        <item x="532"/>
        <item x="342"/>
        <item x="565"/>
        <item x="87"/>
        <item x="584"/>
        <item x="247"/>
        <item x="364"/>
        <item x="14"/>
        <item x="99"/>
        <item x="451"/>
        <item x="387"/>
        <item x="481"/>
        <item x="385"/>
        <item x="120"/>
        <item x="456"/>
        <item x="59"/>
        <item x="214"/>
        <item x="164"/>
        <item x="372"/>
        <item x="582"/>
        <item x="446"/>
        <item x="210"/>
        <item x="477"/>
        <item x="517"/>
        <item x="554"/>
        <item x="587"/>
        <item x="461"/>
        <item x="265"/>
        <item x="390"/>
        <item x="154"/>
        <item x="148"/>
        <item x="500"/>
        <item x="508"/>
        <item x="33"/>
        <item x="209"/>
        <item x="58"/>
        <item x="548"/>
        <item x="257"/>
        <item x="433"/>
        <item x="241"/>
        <item x="30"/>
        <item x="359"/>
        <item x="213"/>
        <item x="590"/>
        <item x="330"/>
        <item x="426"/>
        <item x="46"/>
        <item x="289"/>
        <item x="424"/>
        <item x="516"/>
        <item x="539"/>
        <item x="427"/>
        <item x="94"/>
        <item x="473"/>
        <item x="76"/>
        <item x="436"/>
        <item x="370"/>
        <item x="292"/>
        <item x="268"/>
        <item x="445"/>
        <item x="39"/>
        <item x="188"/>
        <item x="444"/>
        <item x="555"/>
        <item x="124"/>
        <item x="596"/>
        <item x="503"/>
        <item x="527"/>
        <item x="485"/>
        <item x="404"/>
        <item x="118"/>
        <item x="204"/>
        <item x="101"/>
        <item x="258"/>
        <item x="165"/>
        <item x="512"/>
        <item x="435"/>
        <item x="190"/>
        <item x="347"/>
        <item x="121"/>
        <item x="459"/>
        <item x="578"/>
        <item x="85"/>
        <item x="440"/>
        <item x="233"/>
        <item x="68"/>
        <item x="490"/>
        <item x="98"/>
        <item x="86"/>
        <item x="332"/>
        <item x="150"/>
        <item x="354"/>
        <item x="246"/>
        <item x="447"/>
        <item x="0"/>
        <item x="96"/>
        <item x="70"/>
        <item x="497"/>
        <item x="168"/>
        <item x="287"/>
        <item x="375"/>
        <item x="275"/>
        <item x="478"/>
        <item x="397"/>
        <item x="592"/>
        <item x="402"/>
        <item x="349"/>
        <item x="256"/>
        <item x="24"/>
        <item x="145"/>
        <item x="185"/>
        <item x="220"/>
        <item x="48"/>
        <item x="27"/>
        <item x="53"/>
        <item x="66"/>
        <item x="161"/>
        <item x="126"/>
        <item x="71"/>
        <item x="571"/>
        <item x="493"/>
        <item x="82"/>
        <item x="149"/>
        <item x="475"/>
        <item x="17"/>
        <item x="40"/>
        <item x="491"/>
        <item x="438"/>
        <item x="63"/>
        <item x="203"/>
        <item x="302"/>
        <item x="343"/>
        <item x="416"/>
        <item x="193"/>
        <item x="117"/>
        <item x="535"/>
        <item x="317"/>
        <item x="574"/>
        <item x="219"/>
        <item x="174"/>
        <item x="280"/>
        <item x="509"/>
        <item x="366"/>
        <item x="479"/>
        <item x="306"/>
        <item x="137"/>
        <item x="19"/>
        <item x="229"/>
        <item x="398"/>
        <item x="361"/>
        <item x="305"/>
        <item x="211"/>
        <item x="144"/>
        <item x="208"/>
        <item x="102"/>
        <item x="236"/>
        <item x="542"/>
        <item x="237"/>
        <item x="74"/>
        <item x="187"/>
        <item x="54"/>
        <item x="172"/>
        <item x="520"/>
        <item x="586"/>
        <item x="420"/>
        <item x="130"/>
        <item x="449"/>
        <item x="489"/>
        <item x="288"/>
        <item x="67"/>
        <item x="580"/>
        <item x="97"/>
        <item x="307"/>
        <item x="178"/>
        <item x="277"/>
        <item x="499"/>
        <item x="252"/>
        <item x="524"/>
        <item x="7"/>
        <item x="392"/>
        <item x="415"/>
        <item x="284"/>
        <item x="431"/>
        <item x="2"/>
        <item x="163"/>
        <item x="235"/>
        <item x="488"/>
        <item x="409"/>
        <item x="523"/>
        <item x="259"/>
        <item x="437"/>
        <item x="31"/>
        <item x="337"/>
        <item x="89"/>
        <item x="471"/>
        <item x="413"/>
        <item x="544"/>
        <item x="195"/>
        <item x="331"/>
        <item x="533"/>
        <item x="299"/>
        <item x="528"/>
        <item x="394"/>
        <item x="412"/>
        <item x="199"/>
        <item x="38"/>
        <item x="391"/>
        <item x="205"/>
        <item x="462"/>
        <item x="439"/>
        <item x="95"/>
        <item x="90"/>
        <item x="575"/>
        <item x="507"/>
        <item x="11"/>
        <item x="197"/>
        <item x="410"/>
        <item x="338"/>
        <item x="25"/>
        <item x="537"/>
        <item x="423"/>
        <item x="273"/>
        <item x="406"/>
        <item x="573"/>
        <item x="8"/>
        <item x="270"/>
        <item x="29"/>
        <item x="434"/>
        <item x="454"/>
        <item x="135"/>
        <item x="158"/>
        <item x="134"/>
        <item x="177"/>
        <item x="585"/>
        <item x="400"/>
        <item x="10"/>
        <item x="3"/>
        <item x="248"/>
        <item x="272"/>
        <item x="119"/>
        <item x="553"/>
        <item x="350"/>
        <item x="238"/>
        <item x="408"/>
        <item x="285"/>
        <item x="536"/>
        <item x="482"/>
        <item x="93"/>
        <item x="283"/>
        <item x="411"/>
        <item x="312"/>
        <item x="138"/>
        <item x="166"/>
        <item x="243"/>
        <item x="455"/>
        <item x="469"/>
        <item x="52"/>
        <item x="563"/>
        <item x="594"/>
        <item x="360"/>
        <item x="579"/>
        <item x="374"/>
        <item x="12"/>
        <item x="328"/>
        <item x="396"/>
        <item x="263"/>
        <item x="346"/>
        <item x="352"/>
        <item x="529"/>
        <item x="254"/>
        <item x="519"/>
        <item x="515"/>
        <item x="301"/>
        <item x="377"/>
        <item x="322"/>
        <item x="234"/>
        <item x="215"/>
        <item x="244"/>
        <item x="282"/>
        <item x="182"/>
        <item x="300"/>
        <item x="388"/>
        <item x="269"/>
        <item x="141"/>
        <item x="83"/>
        <item x="589"/>
        <item x="569"/>
        <item x="1"/>
        <item x="157"/>
        <item x="495"/>
        <item x="492"/>
        <item x="422"/>
        <item x="303"/>
        <item x="216"/>
        <item x="266"/>
        <item x="151"/>
        <item x="577"/>
        <item x="43"/>
        <item x="64"/>
        <item x="107"/>
        <item x="111"/>
        <item x="44"/>
        <item x="88"/>
        <item x="576"/>
        <item x="56"/>
        <item x="223"/>
        <item x="271"/>
        <item x="181"/>
        <item x="127"/>
        <item x="511"/>
        <item x="598"/>
        <item x="484"/>
        <item x="335"/>
        <item x="597"/>
        <item x="318"/>
        <item x="550"/>
        <item x="152"/>
        <item x="42"/>
        <item x="159"/>
        <item x="4"/>
        <item x="383"/>
        <item x="128"/>
        <item x="326"/>
        <item x="176"/>
        <item x="81"/>
        <item x="281"/>
        <item x="498"/>
        <item x="153"/>
        <item x="401"/>
        <item x="61"/>
        <item x="356"/>
        <item x="502"/>
        <item x="75"/>
        <item x="432"/>
        <item x="274"/>
        <item x="518"/>
        <item x="421"/>
        <item x="344"/>
        <item x="496"/>
        <item x="173"/>
        <item x="32"/>
        <item x="227"/>
        <item x="196"/>
        <item x="115"/>
        <item x="110"/>
        <item x="321"/>
        <item x="201"/>
        <item x="125"/>
        <item x="487"/>
        <item x="541"/>
        <item x="460"/>
        <item x="430"/>
        <item x="35"/>
        <item x="325"/>
        <item x="395"/>
        <item x="278"/>
        <item x="45"/>
        <item x="373"/>
        <item x="501"/>
        <item x="551"/>
        <item x="6"/>
        <item x="293"/>
        <item x="417"/>
        <item x="345"/>
        <item x="37"/>
        <item x="566"/>
        <item x="49"/>
        <item x="355"/>
        <item x="369"/>
        <item x="186"/>
        <item x="239"/>
        <item x="295"/>
        <item x="175"/>
        <item x="458"/>
        <item x="267"/>
        <item x="380"/>
        <item x="363"/>
        <item x="505"/>
        <item x="225"/>
        <item x="334"/>
        <item x="41"/>
        <item x="218"/>
        <item x="50"/>
        <item x="18"/>
        <item x="103"/>
        <item x="561"/>
        <item x="313"/>
        <item x="255"/>
        <item x="562"/>
        <item x="79"/>
        <item x="136"/>
        <item x="228"/>
        <item x="20"/>
        <item x="279"/>
        <item x="296"/>
        <item x="545"/>
        <item x="483"/>
        <item x="304"/>
        <item x="379"/>
        <item x="414"/>
        <item x="405"/>
        <item x="540"/>
        <item x="429"/>
        <item x="191"/>
        <item x="549"/>
        <item x="112"/>
        <item x="133"/>
        <item x="253"/>
        <item x="339"/>
        <item x="510"/>
        <item x="591"/>
        <item x="381"/>
        <item x="160"/>
        <item x="465"/>
        <item x="386"/>
        <item x="568"/>
        <item x="139"/>
        <item x="546"/>
        <item x="368"/>
        <item x="202"/>
        <item x="588"/>
        <item x="466"/>
        <item x="559"/>
        <item x="291"/>
        <item t="default"/>
      </items>
    </pivotField>
    <pivotField showAll="0"/>
    <pivotField showAll="0">
      <items count="4">
        <item x="0"/>
        <item x="1"/>
        <item x="2"/>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801B653-8A87-4516-A40D-77FE2E74EDE5}" sourceName="Year">
  <pivotTables>
    <pivotTable tabId="13" name="PivotTable11"/>
    <pivotTable tabId="14" name="PivotTable1"/>
    <pivotTable tabId="2" name="PivotTable5"/>
    <pivotTable tabId="2" name="PivotTable7"/>
    <pivotTable tabId="2" name="PivotTable8"/>
    <pivotTable tabId="15" name="PivotTable2"/>
    <pivotTable tabId="17" name="PivotTable9"/>
    <pivotTable tabId="2" name="PivotTable10"/>
  </pivotTables>
  <data>
    <tabular pivotCacheId="163715175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DE7EBD-263C-4F7D-A62C-CE96E52B08DC}" sourceName="Category">
  <pivotTables>
    <pivotTable tabId="14" name="PivotTable1"/>
    <pivotTable tabId="13" name="PivotTable11"/>
    <pivotTable tabId="15" name="PivotTable2"/>
    <pivotTable tabId="2" name="PivotTable5"/>
    <pivotTable tabId="2" name="PivotTable6"/>
    <pivotTable tabId="2" name="PivotTable7"/>
    <pivotTable tabId="2" name="PivotTable8"/>
    <pivotTable tabId="17" name="PivotTable9"/>
    <pivotTable tabId="2" name="PivotTable10"/>
  </pivotTables>
  <data>
    <tabular pivotCacheId="163715175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0886542-CD33-4516-B2C5-A3DC17DB2172}" sourceName="Quantity">
  <pivotTables>
    <pivotTable tabId="15" name="PivotTable2"/>
    <pivotTable tabId="14" name="PivotTable1"/>
    <pivotTable tabId="2" name="PivotTable5"/>
    <pivotTable tabId="2" name="PivotTable6"/>
    <pivotTable tabId="2" name="PivotTable7"/>
    <pivotTable tabId="13" name="PivotTable11"/>
    <pivotTable tabId="17" name="PivotTable9"/>
    <pivotTable tabId="2" name="PivotTable10"/>
  </pivotTables>
  <data>
    <tabular pivotCacheId="1637151758">
      <items count="8">
        <i x="7" s="1"/>
        <i x="4" s="1"/>
        <i x="2" s="1"/>
        <i x="0" s="1"/>
        <i x="5" s="1"/>
        <i x="6"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A41662F0-1A50-477D-96BE-94D9851E7C7B}" sourceName="State">
  <pivotTables>
    <pivotTable tabId="17" name="PivotTable9"/>
    <pivotTable tabId="14" name="PivotTable1"/>
    <pivotTable tabId="15" name="PivotTable2"/>
    <pivotTable tabId="13" name="PivotTable11"/>
    <pivotTable tabId="2" name="PivotTable5"/>
    <pivotTable tabId="2" name="PivotTable6"/>
    <pivotTable tabId="2" name="PivotTable7"/>
    <pivotTable tabId="2" name="PivotTable8"/>
    <pivotTable tabId="2" name="PivotTable10"/>
  </pivotTables>
  <data>
    <tabular pivotCacheId="1637151758">
      <items count="10">
        <i x="5" s="1"/>
        <i x="8" s="1"/>
        <i x="1" s="1"/>
        <i x="4" s="1"/>
        <i x="3" s="1"/>
        <i x="7" s="1"/>
        <i x="6" s="1"/>
        <i x="2"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A8EA0D3E-DB6A-421A-95AF-2D77ECC0891A}" cache="Slicer_Quantity" caption="Quantity"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DEC2CB-19B7-4EB9-9225-C43B8F5015E8}" cache="Slicer_Year1" caption="Year" rowHeight="241300"/>
  <slicer name="Category 1" xr10:uid="{174C73D5-A4E2-43FC-977D-B656BF659A14}" cache="Slicer_Category" caption="Category" rowHeight="241300"/>
  <slicer name="Quantity 1" xr10:uid="{5A51B26F-B9A0-4B65-9650-ECC8E2F0148C}" cache="Slicer_Quantity" caption="Quantity" rowHeight="241300"/>
  <slicer name="State 1" xr10:uid="{E98208F5-89A2-4DAF-9FA7-88319EDF8D29}" cache="Slicer_State1"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D98C5B-5B10-4FE9-A7B0-14A14A114114}" name="Table2" displayName="Table2" ref="A1:N601" totalsRowShown="0" headerRowDxfId="7" headerRowBorderDxfId="6" tableBorderDxfId="5">
  <autoFilter ref="A1:N601" xr:uid="{21D98C5B-5B10-4FE9-A7B0-14A14A114114}"/>
  <sortState xmlns:xlrd2="http://schemas.microsoft.com/office/spreadsheetml/2017/richdata2" ref="A2:M601">
    <sortCondition ref="B1:B601"/>
  </sortState>
  <tableColumns count="14">
    <tableColumn id="1" xr3:uid="{F1CE0EF9-843D-4ACA-ADAB-5E8AEE2F87A5}" name="Order ID"/>
    <tableColumn id="2" xr3:uid="{99427311-8211-42A3-B7A3-7C7F9990E7C5}" name="Order Date" dataDxfId="4"/>
    <tableColumn id="3" xr3:uid="{6AD929F3-34B1-4115-B2A0-FD2883F1707D}" name="Customer Name"/>
    <tableColumn id="4" xr3:uid="{64612127-024F-4C9E-99E7-7EEE89845BD2}" name="State"/>
    <tableColumn id="5" xr3:uid="{06B76AEA-48C5-412F-BE48-A4C34857A63C}" name="City"/>
    <tableColumn id="6" xr3:uid="{5816B6C5-BA1E-486E-878D-98BD64D63CED}" name="Category"/>
    <tableColumn id="7" xr3:uid="{0D0DF510-E573-45D1-B7FE-D86FB31CD7E0}" name="Sub-Category"/>
    <tableColumn id="8" xr3:uid="{5AB7E0F9-B989-44EE-AA39-5F52A716429E}" name="Product Name"/>
    <tableColumn id="9" xr3:uid="{17B2ACDE-76EA-455D-9343-0ACE3A3F4D6B}" name="Sales" dataDxfId="3"/>
    <tableColumn id="10" xr3:uid="{4E82CB70-D688-496E-AB5A-F158039CF102}" name="Quantity" dataDxfId="2"/>
    <tableColumn id="11" xr3:uid="{4B5983C2-0B9F-405B-9195-3318AEDFDB1A}" name="Profit" dataDxfId="1"/>
    <tableColumn id="12" xr3:uid="{14F3E10D-BA4F-43BB-B095-F90FDEE4EB3F}" name="Order Status"/>
    <tableColumn id="13" xr3:uid="{DDB92300-078C-4430-A35C-820831C81689}" name="Year"/>
    <tableColumn id="14" xr3:uid="{4F2CF408-944D-43C5-B4A8-8CB8AD0F5919}" name="Month" dataDxfId="0">
      <calculatedColumnFormula>MONTH(B3)</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9792-3340-45C5-847C-B6D3B88A4C6F}">
  <dimension ref="A3:E17"/>
  <sheetViews>
    <sheetView workbookViewId="0">
      <selection activeCell="C18" sqref="C18"/>
    </sheetView>
  </sheetViews>
  <sheetFormatPr defaultRowHeight="15" x14ac:dyDescent="0.25"/>
  <cols>
    <col min="1" max="1" width="13.140625" bestFit="1" customWidth="1"/>
    <col min="2" max="2" width="16.28515625" bestFit="1" customWidth="1"/>
    <col min="3" max="3" width="9.7109375" bestFit="1" customWidth="1"/>
    <col min="4" max="4" width="9.28515625" bestFit="1" customWidth="1"/>
    <col min="5" max="5" width="11.28515625" bestFit="1" customWidth="1"/>
  </cols>
  <sheetData>
    <row r="3" spans="1:5" x14ac:dyDescent="0.25">
      <c r="A3" s="21" t="s">
        <v>738</v>
      </c>
      <c r="B3" s="21" t="s">
        <v>737</v>
      </c>
    </row>
    <row r="4" spans="1:5" x14ac:dyDescent="0.25">
      <c r="A4" s="21" t="s">
        <v>735</v>
      </c>
      <c r="B4" t="s">
        <v>29</v>
      </c>
      <c r="C4" t="s">
        <v>21</v>
      </c>
      <c r="D4" t="s">
        <v>38</v>
      </c>
      <c r="E4" t="s">
        <v>736</v>
      </c>
    </row>
    <row r="5" spans="1:5" x14ac:dyDescent="0.25">
      <c r="A5" s="22">
        <v>1</v>
      </c>
      <c r="B5" s="5">
        <v>11296.930000000002</v>
      </c>
      <c r="C5" s="5">
        <v>25588.540000000005</v>
      </c>
      <c r="D5" s="5">
        <v>5786.32</v>
      </c>
      <c r="E5" s="5">
        <v>42671.790000000008</v>
      </c>
    </row>
    <row r="6" spans="1:5" x14ac:dyDescent="0.25">
      <c r="A6" s="22">
        <v>2</v>
      </c>
      <c r="B6" s="5">
        <v>4900.55</v>
      </c>
      <c r="C6" s="5">
        <v>14611.660000000002</v>
      </c>
      <c r="D6" s="5">
        <v>4481.83</v>
      </c>
      <c r="E6" s="5">
        <v>23994.04</v>
      </c>
    </row>
    <row r="7" spans="1:5" x14ac:dyDescent="0.25">
      <c r="A7" s="22">
        <v>3</v>
      </c>
      <c r="B7" s="5">
        <v>8065.4400000000005</v>
      </c>
      <c r="C7" s="5">
        <v>17407.830000000002</v>
      </c>
      <c r="D7" s="5">
        <v>7941.27</v>
      </c>
      <c r="E7" s="5">
        <v>33414.540000000008</v>
      </c>
    </row>
    <row r="8" spans="1:5" x14ac:dyDescent="0.25">
      <c r="A8" s="22">
        <v>4</v>
      </c>
      <c r="B8" s="5">
        <v>5382.01</v>
      </c>
      <c r="C8" s="5">
        <v>27897.579999999994</v>
      </c>
      <c r="D8" s="5">
        <v>3571.8399999999997</v>
      </c>
      <c r="E8" s="5">
        <v>36851.429999999993</v>
      </c>
    </row>
    <row r="9" spans="1:5" x14ac:dyDescent="0.25">
      <c r="A9" s="22">
        <v>5</v>
      </c>
      <c r="B9" s="5">
        <v>1941.9700000000003</v>
      </c>
      <c r="C9" s="5">
        <v>16370.73</v>
      </c>
      <c r="D9" s="5">
        <v>6237.87</v>
      </c>
      <c r="E9" s="5">
        <v>24550.57</v>
      </c>
    </row>
    <row r="10" spans="1:5" x14ac:dyDescent="0.25">
      <c r="A10" s="22">
        <v>6</v>
      </c>
      <c r="B10" s="5">
        <v>7949.72</v>
      </c>
      <c r="C10" s="5">
        <v>15220.800000000001</v>
      </c>
      <c r="D10" s="5">
        <v>10669.480000000001</v>
      </c>
      <c r="E10" s="5">
        <v>33840</v>
      </c>
    </row>
    <row r="11" spans="1:5" x14ac:dyDescent="0.25">
      <c r="A11" s="22">
        <v>7</v>
      </c>
      <c r="B11" s="5">
        <v>6716.36</v>
      </c>
      <c r="C11" s="5">
        <v>23391.449999999997</v>
      </c>
      <c r="D11" s="5">
        <v>6638.29</v>
      </c>
      <c r="E11" s="5">
        <v>36746.1</v>
      </c>
    </row>
    <row r="12" spans="1:5" x14ac:dyDescent="0.25">
      <c r="A12" s="22">
        <v>8</v>
      </c>
      <c r="B12" s="5">
        <v>2702.98</v>
      </c>
      <c r="C12" s="5">
        <v>20504.03</v>
      </c>
      <c r="D12" s="5">
        <v>8027.42</v>
      </c>
      <c r="E12" s="5">
        <v>31234.43</v>
      </c>
    </row>
    <row r="13" spans="1:5" x14ac:dyDescent="0.25">
      <c r="A13" s="22">
        <v>9</v>
      </c>
      <c r="B13" s="5">
        <v>4412.8900000000003</v>
      </c>
      <c r="C13" s="5">
        <v>28093.35</v>
      </c>
      <c r="D13" s="5">
        <v>9993.5600000000013</v>
      </c>
      <c r="E13" s="5">
        <v>42499.8</v>
      </c>
    </row>
    <row r="14" spans="1:5" x14ac:dyDescent="0.25">
      <c r="A14" s="22">
        <v>10</v>
      </c>
      <c r="B14" s="5">
        <v>10502.359999999999</v>
      </c>
      <c r="C14" s="5">
        <v>30934.639999999999</v>
      </c>
      <c r="D14" s="5">
        <v>7422.07</v>
      </c>
      <c r="E14" s="5">
        <v>48859.07</v>
      </c>
    </row>
    <row r="15" spans="1:5" x14ac:dyDescent="0.25">
      <c r="A15" s="22">
        <v>11</v>
      </c>
      <c r="B15" s="5">
        <v>5278.4</v>
      </c>
      <c r="C15" s="5">
        <v>20591.63</v>
      </c>
      <c r="D15" s="5">
        <v>14099.369999999999</v>
      </c>
      <c r="E15" s="5">
        <v>39969.399999999994</v>
      </c>
    </row>
    <row r="16" spans="1:5" x14ac:dyDescent="0.25">
      <c r="A16" s="22">
        <v>12</v>
      </c>
      <c r="B16" s="5">
        <v>7090.2099999999991</v>
      </c>
      <c r="C16" s="5">
        <v>25015.57</v>
      </c>
      <c r="D16" s="5">
        <v>5514.4599999999991</v>
      </c>
      <c r="E16" s="5">
        <v>37620.239999999998</v>
      </c>
    </row>
    <row r="17" spans="1:5" x14ac:dyDescent="0.25">
      <c r="A17" s="22" t="s">
        <v>736</v>
      </c>
      <c r="B17" s="5">
        <v>76239.820000000007</v>
      </c>
      <c r="C17" s="5">
        <v>265627.81</v>
      </c>
      <c r="D17" s="5">
        <v>90383.78</v>
      </c>
      <c r="E17" s="5">
        <v>432251.41000000003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7FCA9-1295-4AA0-B084-885E43901CA6}">
  <dimension ref="A3:B7"/>
  <sheetViews>
    <sheetView workbookViewId="0">
      <selection activeCell="A3" sqref="A3:B7"/>
    </sheetView>
  </sheetViews>
  <sheetFormatPr defaultRowHeight="15" x14ac:dyDescent="0.25"/>
  <cols>
    <col min="1" max="1" width="14.5703125" bestFit="1" customWidth="1"/>
    <col min="2" max="3" width="12.5703125" bestFit="1" customWidth="1"/>
  </cols>
  <sheetData>
    <row r="3" spans="1:2" x14ac:dyDescent="0.25">
      <c r="A3" s="21" t="s">
        <v>735</v>
      </c>
      <c r="B3" t="s">
        <v>738</v>
      </c>
    </row>
    <row r="4" spans="1:2" x14ac:dyDescent="0.25">
      <c r="A4" s="22" t="s">
        <v>26</v>
      </c>
      <c r="B4" s="5">
        <v>130141.9599999999</v>
      </c>
    </row>
    <row r="5" spans="1:2" x14ac:dyDescent="0.25">
      <c r="A5" s="22" t="s">
        <v>48</v>
      </c>
      <c r="B5" s="5">
        <v>152980.20000000007</v>
      </c>
    </row>
    <row r="6" spans="1:2" x14ac:dyDescent="0.25">
      <c r="A6" s="22" t="s">
        <v>18</v>
      </c>
      <c r="B6" s="5">
        <v>149129.25000000003</v>
      </c>
    </row>
    <row r="7" spans="1:2" x14ac:dyDescent="0.25">
      <c r="A7" s="22" t="s">
        <v>736</v>
      </c>
      <c r="B7" s="5">
        <v>432251.41000000003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E3FB-31C2-4048-8459-0AFE8899A830}">
  <dimension ref="A3:B14"/>
  <sheetViews>
    <sheetView workbookViewId="0">
      <selection activeCell="A3" sqref="A3:B14"/>
    </sheetView>
  </sheetViews>
  <sheetFormatPr defaultRowHeight="15" x14ac:dyDescent="0.25"/>
  <cols>
    <col min="1" max="1" width="33" bestFit="1" customWidth="1"/>
    <col min="2" max="2" width="15.42578125" bestFit="1" customWidth="1"/>
    <col min="3" max="3" width="17" bestFit="1" customWidth="1"/>
  </cols>
  <sheetData>
    <row r="3" spans="1:2" x14ac:dyDescent="0.25">
      <c r="A3" s="21" t="s">
        <v>735</v>
      </c>
      <c r="B3" t="s">
        <v>740</v>
      </c>
    </row>
    <row r="4" spans="1:2" x14ac:dyDescent="0.25">
      <c r="A4" s="22" t="s">
        <v>90</v>
      </c>
      <c r="B4" s="8">
        <v>117</v>
      </c>
    </row>
    <row r="5" spans="1:2" x14ac:dyDescent="0.25">
      <c r="A5" s="22" t="s">
        <v>72</v>
      </c>
      <c r="B5" s="8">
        <v>143</v>
      </c>
    </row>
    <row r="6" spans="1:2" x14ac:dyDescent="0.25">
      <c r="A6" s="22" t="s">
        <v>76</v>
      </c>
      <c r="B6" s="8">
        <v>113</v>
      </c>
    </row>
    <row r="7" spans="1:2" x14ac:dyDescent="0.25">
      <c r="A7" s="22" t="s">
        <v>82</v>
      </c>
      <c r="B7" s="8">
        <v>117</v>
      </c>
    </row>
    <row r="8" spans="1:2" x14ac:dyDescent="0.25">
      <c r="A8" s="22" t="s">
        <v>20</v>
      </c>
      <c r="B8" s="8">
        <v>111</v>
      </c>
    </row>
    <row r="9" spans="1:2" x14ac:dyDescent="0.25">
      <c r="A9" s="22" t="s">
        <v>55</v>
      </c>
      <c r="B9" s="8">
        <v>192</v>
      </c>
    </row>
    <row r="10" spans="1:2" x14ac:dyDescent="0.25">
      <c r="A10" s="22" t="s">
        <v>44</v>
      </c>
      <c r="B10" s="8">
        <v>117</v>
      </c>
    </row>
    <row r="11" spans="1:2" x14ac:dyDescent="0.25">
      <c r="A11" s="22" t="s">
        <v>69</v>
      </c>
      <c r="B11" s="8">
        <v>115</v>
      </c>
    </row>
    <row r="12" spans="1:2" x14ac:dyDescent="0.25">
      <c r="A12" s="22" t="s">
        <v>33</v>
      </c>
      <c r="B12" s="8">
        <v>116</v>
      </c>
    </row>
    <row r="13" spans="1:2" x14ac:dyDescent="0.25">
      <c r="A13" s="22" t="s">
        <v>202</v>
      </c>
      <c r="B13" s="8">
        <v>113</v>
      </c>
    </row>
    <row r="14" spans="1:2" x14ac:dyDescent="0.25">
      <c r="A14" s="22" t="s">
        <v>736</v>
      </c>
      <c r="B14" s="8">
        <v>1254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1629-7B9B-4A2A-9B72-0C826EE148C4}">
  <dimension ref="A3:B14"/>
  <sheetViews>
    <sheetView workbookViewId="0">
      <selection activeCell="G14" sqref="G14"/>
    </sheetView>
  </sheetViews>
  <sheetFormatPr defaultRowHeight="15" x14ac:dyDescent="0.25"/>
  <cols>
    <col min="1" max="1" width="14" bestFit="1" customWidth="1"/>
    <col min="2" max="2" width="12.140625" bestFit="1" customWidth="1"/>
  </cols>
  <sheetData>
    <row r="3" spans="1:2" x14ac:dyDescent="0.25">
      <c r="A3" s="21" t="s">
        <v>735</v>
      </c>
      <c r="B3" t="s">
        <v>739</v>
      </c>
    </row>
    <row r="4" spans="1:2" x14ac:dyDescent="0.25">
      <c r="A4" s="22" t="s">
        <v>74</v>
      </c>
      <c r="B4" s="5">
        <v>147454.21</v>
      </c>
    </row>
    <row r="5" spans="1:2" x14ac:dyDescent="0.25">
      <c r="A5" s="22" t="s">
        <v>24</v>
      </c>
      <c r="B5" s="5">
        <v>94211.049999999988</v>
      </c>
    </row>
    <row r="6" spans="1:2" x14ac:dyDescent="0.25">
      <c r="A6" s="22" t="s">
        <v>79</v>
      </c>
      <c r="B6" s="5">
        <v>112427.93999999999</v>
      </c>
    </row>
    <row r="7" spans="1:2" x14ac:dyDescent="0.25">
      <c r="A7" s="22" t="s">
        <v>125</v>
      </c>
      <c r="B7" s="5">
        <v>85414.079999999987</v>
      </c>
    </row>
    <row r="8" spans="1:2" x14ac:dyDescent="0.25">
      <c r="A8" s="22" t="s">
        <v>52</v>
      </c>
      <c r="B8" s="5">
        <v>112950.46999999999</v>
      </c>
    </row>
    <row r="9" spans="1:2" x14ac:dyDescent="0.25">
      <c r="A9" s="22" t="s">
        <v>86</v>
      </c>
      <c r="B9" s="5">
        <v>102999.05000000002</v>
      </c>
    </row>
    <row r="10" spans="1:2" x14ac:dyDescent="0.25">
      <c r="A10" s="22" t="s">
        <v>66</v>
      </c>
      <c r="B10" s="5">
        <v>116912.81000000001</v>
      </c>
    </row>
    <row r="11" spans="1:2" x14ac:dyDescent="0.25">
      <c r="A11" s="22" t="s">
        <v>41</v>
      </c>
      <c r="B11" s="5">
        <v>131682.53</v>
      </c>
    </row>
    <row r="12" spans="1:2" x14ac:dyDescent="0.25">
      <c r="A12" s="22" t="s">
        <v>16</v>
      </c>
      <c r="B12" s="5">
        <v>166902.62999999998</v>
      </c>
    </row>
    <row r="13" spans="1:2" x14ac:dyDescent="0.25">
      <c r="A13" s="22" t="s">
        <v>36</v>
      </c>
      <c r="B13" s="5">
        <v>122877.27999999998</v>
      </c>
    </row>
    <row r="14" spans="1:2" x14ac:dyDescent="0.25">
      <c r="A14" s="22" t="s">
        <v>736</v>
      </c>
      <c r="B14" s="5">
        <v>1193832.05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01"/>
  <sheetViews>
    <sheetView topLeftCell="A2" zoomScale="83" workbookViewId="0">
      <selection activeCell="B16" sqref="B16"/>
    </sheetView>
  </sheetViews>
  <sheetFormatPr defaultRowHeight="15" x14ac:dyDescent="0.25"/>
  <cols>
    <col min="1" max="1" width="13.85546875" customWidth="1"/>
    <col min="2" max="2" width="20.7109375" style="2" customWidth="1"/>
    <col min="3" max="3" width="21.5703125" customWidth="1"/>
    <col min="4" max="4" width="17.5703125" customWidth="1"/>
    <col min="5" max="5" width="13" customWidth="1"/>
    <col min="6" max="6" width="15.28515625" customWidth="1"/>
    <col min="7" max="7" width="15.42578125" customWidth="1"/>
    <col min="8" max="8" width="21.7109375" customWidth="1"/>
    <col min="9" max="9" width="15.140625" style="5" customWidth="1"/>
    <col min="10" max="10" width="10.85546875" style="8" customWidth="1"/>
    <col min="11" max="11" width="15.85546875" style="5" customWidth="1"/>
    <col min="12" max="12" width="16.85546875" customWidth="1"/>
    <col min="14" max="14" width="12.7109375" customWidth="1"/>
    <col min="15" max="15" width="12.5703125" customWidth="1"/>
    <col min="16" max="16" width="17.5703125" customWidth="1"/>
    <col min="18" max="18" width="12.5703125" customWidth="1"/>
    <col min="21" max="21" width="15.140625" customWidth="1"/>
  </cols>
  <sheetData>
    <row r="1" spans="1:22" x14ac:dyDescent="0.25">
      <c r="A1" s="3" t="s">
        <v>0</v>
      </c>
      <c r="B1" s="4" t="s">
        <v>1</v>
      </c>
      <c r="C1" s="3" t="s">
        <v>2</v>
      </c>
      <c r="D1" s="3" t="s">
        <v>3</v>
      </c>
      <c r="E1" s="3" t="s">
        <v>4</v>
      </c>
      <c r="F1" s="3" t="s">
        <v>5</v>
      </c>
      <c r="G1" s="3" t="s">
        <v>6</v>
      </c>
      <c r="H1" s="3" t="s">
        <v>7</v>
      </c>
      <c r="I1" s="6" t="s">
        <v>8</v>
      </c>
      <c r="J1" s="7" t="s">
        <v>9</v>
      </c>
      <c r="K1" s="6" t="s">
        <v>10</v>
      </c>
      <c r="L1" s="3" t="s">
        <v>11</v>
      </c>
      <c r="M1" s="3" t="s">
        <v>12</v>
      </c>
      <c r="N1" s="3" t="s">
        <v>13</v>
      </c>
      <c r="O1" s="1"/>
      <c r="P1" s="1"/>
      <c r="Q1" s="1"/>
      <c r="R1" s="1"/>
      <c r="S1" s="1"/>
      <c r="T1" s="1"/>
      <c r="U1" s="1"/>
      <c r="V1" s="1"/>
    </row>
    <row r="2" spans="1:22" x14ac:dyDescent="0.25">
      <c r="A2" t="s">
        <v>453</v>
      </c>
      <c r="B2" s="2">
        <v>44931</v>
      </c>
      <c r="C2" t="s">
        <v>111</v>
      </c>
      <c r="D2" t="s">
        <v>36</v>
      </c>
      <c r="E2" t="s">
        <v>128</v>
      </c>
      <c r="F2" t="s">
        <v>48</v>
      </c>
      <c r="G2" t="s">
        <v>151</v>
      </c>
      <c r="H2" t="s">
        <v>174</v>
      </c>
      <c r="I2" s="5">
        <v>2456.16</v>
      </c>
      <c r="J2" s="8">
        <v>4</v>
      </c>
      <c r="K2" s="5">
        <v>444.95</v>
      </c>
      <c r="L2" t="s">
        <v>21</v>
      </c>
      <c r="M2">
        <v>2023</v>
      </c>
      <c r="N2">
        <f t="shared" ref="N2:N65" si="0">MONTH(B3)</f>
        <v>1</v>
      </c>
    </row>
    <row r="3" spans="1:22" x14ac:dyDescent="0.25">
      <c r="A3" t="s">
        <v>637</v>
      </c>
      <c r="B3" s="2">
        <v>44933</v>
      </c>
      <c r="C3" t="s">
        <v>62</v>
      </c>
      <c r="D3" t="s">
        <v>79</v>
      </c>
      <c r="E3" t="s">
        <v>138</v>
      </c>
      <c r="F3" t="s">
        <v>48</v>
      </c>
      <c r="G3" t="s">
        <v>130</v>
      </c>
      <c r="H3" t="s">
        <v>139</v>
      </c>
      <c r="I3" s="5">
        <v>2486.84</v>
      </c>
      <c r="J3" s="8">
        <v>4</v>
      </c>
      <c r="K3" s="5">
        <v>1140.3900000000001</v>
      </c>
      <c r="L3" t="s">
        <v>38</v>
      </c>
      <c r="M3">
        <v>2023</v>
      </c>
      <c r="N3">
        <f t="shared" si="0"/>
        <v>1</v>
      </c>
    </row>
    <row r="4" spans="1:22" x14ac:dyDescent="0.25">
      <c r="A4" t="s">
        <v>345</v>
      </c>
      <c r="B4" s="2">
        <v>44936</v>
      </c>
      <c r="C4" t="s">
        <v>92</v>
      </c>
      <c r="D4" t="s">
        <v>41</v>
      </c>
      <c r="E4" t="s">
        <v>42</v>
      </c>
      <c r="F4" t="s">
        <v>48</v>
      </c>
      <c r="G4" t="s">
        <v>68</v>
      </c>
      <c r="H4" t="s">
        <v>202</v>
      </c>
      <c r="I4" s="5">
        <v>2003.08</v>
      </c>
      <c r="J4" s="8">
        <v>7</v>
      </c>
      <c r="K4" s="5">
        <v>713.63</v>
      </c>
      <c r="L4" t="s">
        <v>21</v>
      </c>
      <c r="M4">
        <v>2023</v>
      </c>
      <c r="N4">
        <f t="shared" si="0"/>
        <v>1</v>
      </c>
    </row>
    <row r="5" spans="1:22" x14ac:dyDescent="0.25">
      <c r="A5" t="s">
        <v>506</v>
      </c>
      <c r="B5" s="2">
        <v>44936</v>
      </c>
      <c r="C5" t="s">
        <v>46</v>
      </c>
      <c r="D5" t="s">
        <v>36</v>
      </c>
      <c r="E5" t="s">
        <v>37</v>
      </c>
      <c r="F5" t="s">
        <v>26</v>
      </c>
      <c r="G5" t="s">
        <v>27</v>
      </c>
      <c r="H5" t="s">
        <v>162</v>
      </c>
      <c r="I5" s="5">
        <v>2326.87</v>
      </c>
      <c r="J5" s="8">
        <v>7</v>
      </c>
      <c r="K5" s="5">
        <v>924.39</v>
      </c>
      <c r="L5" t="s">
        <v>21</v>
      </c>
      <c r="M5">
        <v>2023</v>
      </c>
      <c r="N5">
        <f t="shared" si="0"/>
        <v>1</v>
      </c>
    </row>
    <row r="6" spans="1:22" x14ac:dyDescent="0.25">
      <c r="A6" t="s">
        <v>292</v>
      </c>
      <c r="B6" s="2">
        <v>44937</v>
      </c>
      <c r="C6" t="s">
        <v>46</v>
      </c>
      <c r="D6" t="s">
        <v>52</v>
      </c>
      <c r="E6" t="s">
        <v>53</v>
      </c>
      <c r="F6" t="s">
        <v>18</v>
      </c>
      <c r="G6" t="s">
        <v>32</v>
      </c>
      <c r="H6" t="s">
        <v>147</v>
      </c>
      <c r="I6" s="5">
        <v>2493.62</v>
      </c>
      <c r="J6" s="8">
        <v>3</v>
      </c>
      <c r="K6" s="5">
        <v>1296.44</v>
      </c>
      <c r="L6" t="s">
        <v>29</v>
      </c>
      <c r="M6">
        <v>2023</v>
      </c>
      <c r="N6">
        <f t="shared" si="0"/>
        <v>1</v>
      </c>
    </row>
    <row r="7" spans="1:22" x14ac:dyDescent="0.25">
      <c r="A7" t="s">
        <v>657</v>
      </c>
      <c r="B7" s="2">
        <v>44937</v>
      </c>
      <c r="C7" t="s">
        <v>198</v>
      </c>
      <c r="D7" t="s">
        <v>125</v>
      </c>
      <c r="E7" t="s">
        <v>146</v>
      </c>
      <c r="F7" t="s">
        <v>48</v>
      </c>
      <c r="G7" t="s">
        <v>94</v>
      </c>
      <c r="H7" t="s">
        <v>95</v>
      </c>
      <c r="I7" s="5">
        <v>556.25</v>
      </c>
      <c r="J7" s="8">
        <v>3</v>
      </c>
      <c r="K7" s="5">
        <v>200.43</v>
      </c>
      <c r="L7" t="s">
        <v>38</v>
      </c>
      <c r="M7">
        <v>2023</v>
      </c>
      <c r="N7">
        <f t="shared" si="0"/>
        <v>1</v>
      </c>
    </row>
    <row r="8" spans="1:22" x14ac:dyDescent="0.25">
      <c r="A8" t="s">
        <v>584</v>
      </c>
      <c r="B8" s="2">
        <v>44938</v>
      </c>
      <c r="C8" t="s">
        <v>62</v>
      </c>
      <c r="D8" t="s">
        <v>41</v>
      </c>
      <c r="E8" t="s">
        <v>63</v>
      </c>
      <c r="F8" t="s">
        <v>26</v>
      </c>
      <c r="G8" t="s">
        <v>98</v>
      </c>
      <c r="H8" t="s">
        <v>176</v>
      </c>
      <c r="I8" s="5">
        <v>5407.63</v>
      </c>
      <c r="J8" s="8">
        <v>8</v>
      </c>
      <c r="K8" s="5">
        <v>1597.86</v>
      </c>
      <c r="L8" t="s">
        <v>29</v>
      </c>
      <c r="M8">
        <v>2023</v>
      </c>
      <c r="N8">
        <f t="shared" si="0"/>
        <v>1</v>
      </c>
    </row>
    <row r="9" spans="1:22" x14ac:dyDescent="0.25">
      <c r="A9" t="s">
        <v>380</v>
      </c>
      <c r="B9" s="2">
        <v>44940</v>
      </c>
      <c r="C9" t="s">
        <v>160</v>
      </c>
      <c r="D9" t="s">
        <v>36</v>
      </c>
      <c r="E9" t="s">
        <v>128</v>
      </c>
      <c r="F9" t="s">
        <v>48</v>
      </c>
      <c r="G9" t="s">
        <v>59</v>
      </c>
      <c r="H9" t="s">
        <v>142</v>
      </c>
      <c r="I9" s="5">
        <v>1653.91</v>
      </c>
      <c r="J9" s="8">
        <v>3</v>
      </c>
      <c r="K9" s="5">
        <v>691.74</v>
      </c>
      <c r="L9" t="s">
        <v>38</v>
      </c>
      <c r="M9">
        <v>2023</v>
      </c>
      <c r="N9">
        <f t="shared" si="0"/>
        <v>1</v>
      </c>
    </row>
    <row r="10" spans="1:22" x14ac:dyDescent="0.25">
      <c r="A10" t="s">
        <v>488</v>
      </c>
      <c r="B10" s="2">
        <v>44940</v>
      </c>
      <c r="C10" t="s">
        <v>120</v>
      </c>
      <c r="D10" t="s">
        <v>74</v>
      </c>
      <c r="E10" t="s">
        <v>97</v>
      </c>
      <c r="F10" t="s">
        <v>48</v>
      </c>
      <c r="G10" t="s">
        <v>49</v>
      </c>
      <c r="H10" t="s">
        <v>158</v>
      </c>
      <c r="I10" s="5">
        <v>4169.9799999999996</v>
      </c>
      <c r="J10" s="8">
        <v>8</v>
      </c>
      <c r="K10" s="5">
        <v>882.82</v>
      </c>
      <c r="L10" t="s">
        <v>29</v>
      </c>
      <c r="M10">
        <v>2023</v>
      </c>
      <c r="N10">
        <f t="shared" si="0"/>
        <v>1</v>
      </c>
    </row>
    <row r="11" spans="1:22" x14ac:dyDescent="0.25">
      <c r="A11" t="s">
        <v>229</v>
      </c>
      <c r="B11" s="2">
        <v>44942</v>
      </c>
      <c r="C11" t="s">
        <v>23</v>
      </c>
      <c r="D11" t="s">
        <v>125</v>
      </c>
      <c r="E11" t="s">
        <v>146</v>
      </c>
      <c r="F11" t="s">
        <v>48</v>
      </c>
      <c r="G11" t="s">
        <v>49</v>
      </c>
      <c r="H11" t="s">
        <v>158</v>
      </c>
      <c r="I11" s="5">
        <v>587.5</v>
      </c>
      <c r="J11" s="8">
        <v>2</v>
      </c>
      <c r="K11" s="5">
        <v>197.29</v>
      </c>
      <c r="L11" t="s">
        <v>38</v>
      </c>
      <c r="M11">
        <v>2023</v>
      </c>
      <c r="N11">
        <f t="shared" si="0"/>
        <v>1</v>
      </c>
    </row>
    <row r="12" spans="1:22" x14ac:dyDescent="0.25">
      <c r="A12" t="s">
        <v>538</v>
      </c>
      <c r="B12" s="2">
        <v>44945</v>
      </c>
      <c r="C12" t="s">
        <v>78</v>
      </c>
      <c r="D12" t="s">
        <v>66</v>
      </c>
      <c r="E12" t="s">
        <v>271</v>
      </c>
      <c r="F12" t="s">
        <v>18</v>
      </c>
      <c r="G12" t="s">
        <v>43</v>
      </c>
      <c r="H12" t="s">
        <v>76</v>
      </c>
      <c r="I12" s="5">
        <v>2000.84</v>
      </c>
      <c r="J12" s="8">
        <v>4</v>
      </c>
      <c r="K12" s="5">
        <v>923.69</v>
      </c>
      <c r="L12" t="s">
        <v>21</v>
      </c>
      <c r="M12">
        <v>2023</v>
      </c>
      <c r="N12">
        <f t="shared" si="0"/>
        <v>1</v>
      </c>
    </row>
    <row r="13" spans="1:22" x14ac:dyDescent="0.25">
      <c r="A13" t="s">
        <v>535</v>
      </c>
      <c r="B13" s="2">
        <v>44952</v>
      </c>
      <c r="C13" t="s">
        <v>40</v>
      </c>
      <c r="D13" t="s">
        <v>74</v>
      </c>
      <c r="E13" t="s">
        <v>97</v>
      </c>
      <c r="F13" t="s">
        <v>26</v>
      </c>
      <c r="G13" t="s">
        <v>27</v>
      </c>
      <c r="H13" t="s">
        <v>162</v>
      </c>
      <c r="I13" s="5">
        <v>2300.39</v>
      </c>
      <c r="J13" s="8">
        <v>7</v>
      </c>
      <c r="K13" s="5">
        <v>856.85</v>
      </c>
      <c r="L13" t="s">
        <v>21</v>
      </c>
      <c r="M13">
        <v>2023</v>
      </c>
      <c r="N13">
        <f t="shared" si="0"/>
        <v>1</v>
      </c>
    </row>
    <row r="14" spans="1:22" x14ac:dyDescent="0.25">
      <c r="A14" t="s">
        <v>172</v>
      </c>
      <c r="B14" s="2">
        <v>44955</v>
      </c>
      <c r="C14" t="s">
        <v>120</v>
      </c>
      <c r="D14" t="s">
        <v>125</v>
      </c>
      <c r="E14" t="s">
        <v>126</v>
      </c>
      <c r="F14" t="s">
        <v>26</v>
      </c>
      <c r="G14" t="s">
        <v>81</v>
      </c>
      <c r="H14" t="s">
        <v>112</v>
      </c>
      <c r="I14" s="5">
        <v>2759.19</v>
      </c>
      <c r="J14" s="8">
        <v>5</v>
      </c>
      <c r="K14" s="5">
        <v>1017.87</v>
      </c>
      <c r="L14" t="s">
        <v>29</v>
      </c>
      <c r="M14">
        <v>2023</v>
      </c>
      <c r="N14">
        <f t="shared" si="0"/>
        <v>1</v>
      </c>
    </row>
    <row r="15" spans="1:22" x14ac:dyDescent="0.25">
      <c r="A15" t="s">
        <v>434</v>
      </c>
      <c r="B15" s="2">
        <v>44955</v>
      </c>
      <c r="C15" t="s">
        <v>84</v>
      </c>
      <c r="D15" t="s">
        <v>79</v>
      </c>
      <c r="E15" t="s">
        <v>138</v>
      </c>
      <c r="F15" t="s">
        <v>26</v>
      </c>
      <c r="G15" t="s">
        <v>89</v>
      </c>
      <c r="H15" t="s">
        <v>90</v>
      </c>
      <c r="I15" s="5">
        <v>563.11</v>
      </c>
      <c r="J15" s="8">
        <v>6</v>
      </c>
      <c r="K15" s="5">
        <v>145.1</v>
      </c>
      <c r="L15" t="s">
        <v>21</v>
      </c>
      <c r="M15">
        <v>2023</v>
      </c>
      <c r="N15">
        <f t="shared" si="0"/>
        <v>1</v>
      </c>
    </row>
    <row r="16" spans="1:22" x14ac:dyDescent="0.25">
      <c r="A16" t="s">
        <v>692</v>
      </c>
      <c r="B16" s="2">
        <v>44955</v>
      </c>
      <c r="C16" t="s">
        <v>92</v>
      </c>
      <c r="D16" t="s">
        <v>36</v>
      </c>
      <c r="E16" t="s">
        <v>47</v>
      </c>
      <c r="F16" t="s">
        <v>18</v>
      </c>
      <c r="G16" t="s">
        <v>54</v>
      </c>
      <c r="H16" t="s">
        <v>108</v>
      </c>
      <c r="I16" s="5">
        <v>860.66</v>
      </c>
      <c r="J16" s="8">
        <v>2</v>
      </c>
      <c r="K16" s="5">
        <v>263.54000000000002</v>
      </c>
      <c r="L16" t="s">
        <v>29</v>
      </c>
      <c r="M16">
        <v>2023</v>
      </c>
      <c r="N16">
        <f t="shared" si="0"/>
        <v>2</v>
      </c>
    </row>
    <row r="17" spans="1:14" x14ac:dyDescent="0.25">
      <c r="A17" t="s">
        <v>659</v>
      </c>
      <c r="B17" s="2">
        <v>44959</v>
      </c>
      <c r="C17" t="s">
        <v>137</v>
      </c>
      <c r="D17" t="s">
        <v>125</v>
      </c>
      <c r="E17" t="s">
        <v>146</v>
      </c>
      <c r="F17" t="s">
        <v>48</v>
      </c>
      <c r="G17" t="s">
        <v>49</v>
      </c>
      <c r="H17" t="s">
        <v>50</v>
      </c>
      <c r="I17" s="5">
        <v>433.6</v>
      </c>
      <c r="J17" s="8">
        <v>2</v>
      </c>
      <c r="K17" s="5">
        <v>173.5</v>
      </c>
      <c r="L17" t="s">
        <v>38</v>
      </c>
      <c r="M17">
        <v>2023</v>
      </c>
      <c r="N17">
        <f t="shared" si="0"/>
        <v>2</v>
      </c>
    </row>
    <row r="18" spans="1:14" x14ac:dyDescent="0.25">
      <c r="A18" t="s">
        <v>253</v>
      </c>
      <c r="B18" s="2">
        <v>44960</v>
      </c>
      <c r="C18" t="s">
        <v>35</v>
      </c>
      <c r="D18" t="s">
        <v>79</v>
      </c>
      <c r="E18" t="s">
        <v>80</v>
      </c>
      <c r="F18" t="s">
        <v>18</v>
      </c>
      <c r="G18" t="s">
        <v>32</v>
      </c>
      <c r="H18" t="s">
        <v>33</v>
      </c>
      <c r="I18" s="5">
        <v>684.64</v>
      </c>
      <c r="J18" s="8">
        <v>5</v>
      </c>
      <c r="K18" s="5">
        <v>211.95</v>
      </c>
      <c r="L18" t="s">
        <v>21</v>
      </c>
      <c r="M18">
        <v>2023</v>
      </c>
      <c r="N18">
        <f t="shared" si="0"/>
        <v>2</v>
      </c>
    </row>
    <row r="19" spans="1:14" x14ac:dyDescent="0.25">
      <c r="A19" t="s">
        <v>564</v>
      </c>
      <c r="B19" s="2">
        <v>44964</v>
      </c>
      <c r="C19" t="s">
        <v>78</v>
      </c>
      <c r="D19" t="s">
        <v>125</v>
      </c>
      <c r="E19" t="s">
        <v>141</v>
      </c>
      <c r="F19" t="s">
        <v>18</v>
      </c>
      <c r="G19" t="s">
        <v>19</v>
      </c>
      <c r="H19" t="s">
        <v>72</v>
      </c>
      <c r="I19" s="5">
        <v>2331.52</v>
      </c>
      <c r="J19" s="8">
        <v>3</v>
      </c>
      <c r="K19" s="5">
        <v>510.7</v>
      </c>
      <c r="L19" t="s">
        <v>38</v>
      </c>
      <c r="M19">
        <v>2023</v>
      </c>
      <c r="N19">
        <f t="shared" si="0"/>
        <v>2</v>
      </c>
    </row>
    <row r="20" spans="1:14" x14ac:dyDescent="0.25">
      <c r="A20" t="s">
        <v>642</v>
      </c>
      <c r="B20" s="2">
        <v>44966</v>
      </c>
      <c r="C20" t="s">
        <v>133</v>
      </c>
      <c r="D20" t="s">
        <v>41</v>
      </c>
      <c r="E20" t="s">
        <v>42</v>
      </c>
      <c r="F20" t="s">
        <v>26</v>
      </c>
      <c r="G20" t="s">
        <v>89</v>
      </c>
      <c r="H20" t="s">
        <v>90</v>
      </c>
      <c r="I20" s="5">
        <v>4387.1400000000003</v>
      </c>
      <c r="J20" s="8">
        <v>8</v>
      </c>
      <c r="K20" s="5">
        <v>1873.5</v>
      </c>
      <c r="L20" t="s">
        <v>38</v>
      </c>
      <c r="M20">
        <v>2023</v>
      </c>
      <c r="N20">
        <f t="shared" si="0"/>
        <v>2</v>
      </c>
    </row>
    <row r="21" spans="1:14" x14ac:dyDescent="0.25">
      <c r="A21" t="s">
        <v>396</v>
      </c>
      <c r="B21" s="2">
        <v>44967</v>
      </c>
      <c r="C21" t="s">
        <v>62</v>
      </c>
      <c r="D21" t="s">
        <v>79</v>
      </c>
      <c r="E21" t="s">
        <v>80</v>
      </c>
      <c r="F21" t="s">
        <v>26</v>
      </c>
      <c r="G21" t="s">
        <v>89</v>
      </c>
      <c r="H21" t="s">
        <v>90</v>
      </c>
      <c r="I21" s="5">
        <v>1752.67</v>
      </c>
      <c r="J21" s="8">
        <v>4</v>
      </c>
      <c r="K21" s="5">
        <v>578.84</v>
      </c>
      <c r="L21" t="s">
        <v>29</v>
      </c>
      <c r="M21">
        <v>2023</v>
      </c>
      <c r="N21">
        <f t="shared" si="0"/>
        <v>2</v>
      </c>
    </row>
    <row r="22" spans="1:14" x14ac:dyDescent="0.25">
      <c r="A22" t="s">
        <v>667</v>
      </c>
      <c r="B22" s="2">
        <v>44970</v>
      </c>
      <c r="C22" t="s">
        <v>92</v>
      </c>
      <c r="D22" t="s">
        <v>74</v>
      </c>
      <c r="E22" t="s">
        <v>75</v>
      </c>
      <c r="F22" t="s">
        <v>48</v>
      </c>
      <c r="G22" t="s">
        <v>49</v>
      </c>
      <c r="H22" t="s">
        <v>158</v>
      </c>
      <c r="I22" s="5">
        <v>5108.5600000000004</v>
      </c>
      <c r="J22" s="8">
        <v>8</v>
      </c>
      <c r="K22" s="5">
        <v>1995.26</v>
      </c>
      <c r="L22" t="s">
        <v>21</v>
      </c>
      <c r="M22">
        <v>2023</v>
      </c>
      <c r="N22">
        <f t="shared" si="0"/>
        <v>2</v>
      </c>
    </row>
    <row r="23" spans="1:14" x14ac:dyDescent="0.25">
      <c r="A23" t="s">
        <v>203</v>
      </c>
      <c r="B23" s="2">
        <v>44971</v>
      </c>
      <c r="C23" t="s">
        <v>57</v>
      </c>
      <c r="D23" t="s">
        <v>125</v>
      </c>
      <c r="E23" t="s">
        <v>126</v>
      </c>
      <c r="F23" t="s">
        <v>18</v>
      </c>
      <c r="G23" t="s">
        <v>19</v>
      </c>
      <c r="H23" t="s">
        <v>72</v>
      </c>
      <c r="I23" s="5">
        <v>661.69</v>
      </c>
      <c r="J23" s="8">
        <v>5</v>
      </c>
      <c r="K23" s="5">
        <v>187.43</v>
      </c>
      <c r="L23" t="s">
        <v>38</v>
      </c>
      <c r="M23">
        <v>2023</v>
      </c>
      <c r="N23">
        <f t="shared" si="0"/>
        <v>2</v>
      </c>
    </row>
    <row r="24" spans="1:14" x14ac:dyDescent="0.25">
      <c r="A24" t="s">
        <v>397</v>
      </c>
      <c r="B24" s="2">
        <v>44971</v>
      </c>
      <c r="C24" t="s">
        <v>78</v>
      </c>
      <c r="D24" t="s">
        <v>66</v>
      </c>
      <c r="E24" t="s">
        <v>271</v>
      </c>
      <c r="F24" t="s">
        <v>18</v>
      </c>
      <c r="G24" t="s">
        <v>54</v>
      </c>
      <c r="H24" t="s">
        <v>55</v>
      </c>
      <c r="I24" s="5">
        <v>348.7</v>
      </c>
      <c r="J24" s="8">
        <v>1</v>
      </c>
      <c r="K24" s="5">
        <v>121</v>
      </c>
      <c r="L24" t="s">
        <v>21</v>
      </c>
      <c r="M24">
        <v>2023</v>
      </c>
      <c r="N24">
        <f t="shared" si="0"/>
        <v>2</v>
      </c>
    </row>
    <row r="25" spans="1:14" x14ac:dyDescent="0.25">
      <c r="A25" t="s">
        <v>123</v>
      </c>
      <c r="B25" s="2">
        <v>44975</v>
      </c>
      <c r="C25" t="s">
        <v>124</v>
      </c>
      <c r="D25" t="s">
        <v>125</v>
      </c>
      <c r="E25" t="s">
        <v>126</v>
      </c>
      <c r="F25" t="s">
        <v>48</v>
      </c>
      <c r="G25" t="s">
        <v>49</v>
      </c>
      <c r="H25" t="s">
        <v>50</v>
      </c>
      <c r="I25" s="5">
        <v>351.45</v>
      </c>
      <c r="J25" s="8">
        <v>4</v>
      </c>
      <c r="K25" s="5">
        <v>82.76</v>
      </c>
      <c r="L25" t="s">
        <v>21</v>
      </c>
      <c r="M25">
        <v>2023</v>
      </c>
      <c r="N25">
        <f t="shared" si="0"/>
        <v>2</v>
      </c>
    </row>
    <row r="26" spans="1:14" x14ac:dyDescent="0.25">
      <c r="A26" t="s">
        <v>140</v>
      </c>
      <c r="B26" s="2">
        <v>44977</v>
      </c>
      <c r="C26" t="s">
        <v>40</v>
      </c>
      <c r="D26" t="s">
        <v>125</v>
      </c>
      <c r="E26" t="s">
        <v>141</v>
      </c>
      <c r="F26" t="s">
        <v>48</v>
      </c>
      <c r="G26" t="s">
        <v>59</v>
      </c>
      <c r="H26" t="s">
        <v>142</v>
      </c>
      <c r="I26" s="5">
        <v>1207.58</v>
      </c>
      <c r="J26" s="8">
        <v>3</v>
      </c>
      <c r="K26" s="5">
        <v>467.87</v>
      </c>
      <c r="L26" t="s">
        <v>21</v>
      </c>
      <c r="M26">
        <v>2023</v>
      </c>
      <c r="N26">
        <f t="shared" si="0"/>
        <v>2</v>
      </c>
    </row>
    <row r="27" spans="1:14" x14ac:dyDescent="0.25">
      <c r="A27" t="s">
        <v>341</v>
      </c>
      <c r="B27" s="2">
        <v>44977</v>
      </c>
      <c r="C27" t="s">
        <v>114</v>
      </c>
      <c r="D27" t="s">
        <v>79</v>
      </c>
      <c r="E27" t="s">
        <v>138</v>
      </c>
      <c r="F27" t="s">
        <v>48</v>
      </c>
      <c r="G27" t="s">
        <v>94</v>
      </c>
      <c r="H27" t="s">
        <v>95</v>
      </c>
      <c r="I27" s="5">
        <v>4637.3599999999997</v>
      </c>
      <c r="J27" s="8">
        <v>6</v>
      </c>
      <c r="K27" s="5">
        <v>868.25</v>
      </c>
      <c r="L27" t="s">
        <v>38</v>
      </c>
      <c r="M27">
        <v>2023</v>
      </c>
      <c r="N27">
        <f t="shared" si="0"/>
        <v>2</v>
      </c>
    </row>
    <row r="28" spans="1:14" x14ac:dyDescent="0.25">
      <c r="A28" t="s">
        <v>407</v>
      </c>
      <c r="B28" s="2">
        <v>44979</v>
      </c>
      <c r="C28" t="s">
        <v>46</v>
      </c>
      <c r="D28" t="s">
        <v>86</v>
      </c>
      <c r="E28" t="s">
        <v>116</v>
      </c>
      <c r="F28" t="s">
        <v>18</v>
      </c>
      <c r="G28" t="s">
        <v>32</v>
      </c>
      <c r="H28" t="s">
        <v>147</v>
      </c>
      <c r="I28" s="5">
        <v>316.69</v>
      </c>
      <c r="J28" s="8">
        <v>2</v>
      </c>
      <c r="K28" s="5">
        <v>77.489999999999995</v>
      </c>
      <c r="L28" t="s">
        <v>21</v>
      </c>
      <c r="M28">
        <v>2023</v>
      </c>
      <c r="N28">
        <f t="shared" si="0"/>
        <v>2</v>
      </c>
    </row>
    <row r="29" spans="1:14" x14ac:dyDescent="0.25">
      <c r="A29" t="s">
        <v>573</v>
      </c>
      <c r="B29" s="2">
        <v>44980</v>
      </c>
      <c r="C29" t="s">
        <v>133</v>
      </c>
      <c r="D29" t="s">
        <v>86</v>
      </c>
      <c r="E29" t="s">
        <v>118</v>
      </c>
      <c r="F29" t="s">
        <v>26</v>
      </c>
      <c r="G29" t="s">
        <v>89</v>
      </c>
      <c r="H29" t="s">
        <v>90</v>
      </c>
      <c r="I29" s="5">
        <v>2138.17</v>
      </c>
      <c r="J29" s="8">
        <v>3</v>
      </c>
      <c r="K29" s="5">
        <v>486.26</v>
      </c>
      <c r="L29" t="s">
        <v>29</v>
      </c>
      <c r="M29">
        <v>2023</v>
      </c>
      <c r="N29">
        <f t="shared" si="0"/>
        <v>2</v>
      </c>
    </row>
    <row r="30" spans="1:14" x14ac:dyDescent="0.25">
      <c r="A30" t="s">
        <v>705</v>
      </c>
      <c r="B30" s="2">
        <v>44984</v>
      </c>
      <c r="C30" t="s">
        <v>198</v>
      </c>
      <c r="D30" t="s">
        <v>41</v>
      </c>
      <c r="E30" t="s">
        <v>58</v>
      </c>
      <c r="F30" t="s">
        <v>48</v>
      </c>
      <c r="G30" t="s">
        <v>49</v>
      </c>
      <c r="H30" t="s">
        <v>158</v>
      </c>
      <c r="I30" s="5">
        <v>495.94</v>
      </c>
      <c r="J30" s="8">
        <v>1</v>
      </c>
      <c r="K30" s="5">
        <v>231.06</v>
      </c>
      <c r="L30" t="s">
        <v>29</v>
      </c>
      <c r="M30">
        <v>2023</v>
      </c>
      <c r="N30">
        <f t="shared" si="0"/>
        <v>3</v>
      </c>
    </row>
    <row r="31" spans="1:14" x14ac:dyDescent="0.25">
      <c r="A31" t="s">
        <v>691</v>
      </c>
      <c r="B31" s="2">
        <v>44986</v>
      </c>
      <c r="C31" t="s">
        <v>120</v>
      </c>
      <c r="D31" t="s">
        <v>41</v>
      </c>
      <c r="E31" t="s">
        <v>42</v>
      </c>
      <c r="F31" t="s">
        <v>18</v>
      </c>
      <c r="G31" t="s">
        <v>54</v>
      </c>
      <c r="H31" t="s">
        <v>108</v>
      </c>
      <c r="I31" s="5">
        <v>4247.76</v>
      </c>
      <c r="J31" s="8">
        <v>6</v>
      </c>
      <c r="K31" s="5">
        <v>892.41</v>
      </c>
      <c r="L31" t="s">
        <v>21</v>
      </c>
      <c r="M31">
        <v>2023</v>
      </c>
      <c r="N31">
        <f t="shared" si="0"/>
        <v>3</v>
      </c>
    </row>
    <row r="32" spans="1:14" x14ac:dyDescent="0.25">
      <c r="A32" t="s">
        <v>393</v>
      </c>
      <c r="B32" s="2">
        <v>44987</v>
      </c>
      <c r="C32" t="s">
        <v>198</v>
      </c>
      <c r="D32" t="s">
        <v>52</v>
      </c>
      <c r="E32" t="s">
        <v>53</v>
      </c>
      <c r="F32" t="s">
        <v>26</v>
      </c>
      <c r="G32" t="s">
        <v>89</v>
      </c>
      <c r="H32" t="s">
        <v>265</v>
      </c>
      <c r="I32" s="5">
        <v>705.38</v>
      </c>
      <c r="J32" s="8">
        <v>4</v>
      </c>
      <c r="K32" s="5">
        <v>324.69</v>
      </c>
      <c r="L32" t="s">
        <v>21</v>
      </c>
      <c r="M32">
        <v>2023</v>
      </c>
      <c r="N32">
        <f t="shared" si="0"/>
        <v>3</v>
      </c>
    </row>
    <row r="33" spans="1:14" x14ac:dyDescent="0.25">
      <c r="A33" t="s">
        <v>225</v>
      </c>
      <c r="B33" s="2">
        <v>44989</v>
      </c>
      <c r="C33" t="s">
        <v>84</v>
      </c>
      <c r="D33" t="s">
        <v>24</v>
      </c>
      <c r="E33" t="s">
        <v>25</v>
      </c>
      <c r="F33" t="s">
        <v>26</v>
      </c>
      <c r="G33" t="s">
        <v>98</v>
      </c>
      <c r="H33" t="s">
        <v>99</v>
      </c>
      <c r="I33" s="5">
        <v>2313.39</v>
      </c>
      <c r="J33" s="8">
        <v>3</v>
      </c>
      <c r="K33" s="5">
        <v>748.94</v>
      </c>
      <c r="L33" t="s">
        <v>21</v>
      </c>
      <c r="M33">
        <v>2023</v>
      </c>
      <c r="N33">
        <f t="shared" si="0"/>
        <v>3</v>
      </c>
    </row>
    <row r="34" spans="1:14" x14ac:dyDescent="0.25">
      <c r="A34" t="s">
        <v>273</v>
      </c>
      <c r="B34" s="2">
        <v>44989</v>
      </c>
      <c r="C34" t="s">
        <v>15</v>
      </c>
      <c r="D34" t="s">
        <v>16</v>
      </c>
      <c r="E34" t="s">
        <v>17</v>
      </c>
      <c r="F34" t="s">
        <v>18</v>
      </c>
      <c r="G34" t="s">
        <v>19</v>
      </c>
      <c r="H34" t="s">
        <v>20</v>
      </c>
      <c r="I34" s="5">
        <v>3660.96</v>
      </c>
      <c r="J34" s="8">
        <v>7</v>
      </c>
      <c r="K34" s="5">
        <v>1454.61</v>
      </c>
      <c r="L34" t="s">
        <v>38</v>
      </c>
      <c r="M34">
        <v>2023</v>
      </c>
      <c r="N34">
        <f t="shared" si="0"/>
        <v>3</v>
      </c>
    </row>
    <row r="35" spans="1:14" x14ac:dyDescent="0.25">
      <c r="A35" t="s">
        <v>260</v>
      </c>
      <c r="B35" s="2">
        <v>44990</v>
      </c>
      <c r="C35" t="s">
        <v>133</v>
      </c>
      <c r="D35" t="s">
        <v>16</v>
      </c>
      <c r="E35" t="s">
        <v>71</v>
      </c>
      <c r="F35" t="s">
        <v>18</v>
      </c>
      <c r="G35" t="s">
        <v>32</v>
      </c>
      <c r="H35" t="s">
        <v>33</v>
      </c>
      <c r="I35" s="5">
        <v>1253.06</v>
      </c>
      <c r="J35" s="8">
        <v>3</v>
      </c>
      <c r="K35" s="5">
        <v>308.70999999999998</v>
      </c>
      <c r="L35" t="s">
        <v>21</v>
      </c>
      <c r="M35">
        <v>2023</v>
      </c>
      <c r="N35">
        <f t="shared" si="0"/>
        <v>3</v>
      </c>
    </row>
    <row r="36" spans="1:14" x14ac:dyDescent="0.25">
      <c r="A36" t="s">
        <v>351</v>
      </c>
      <c r="B36" s="2">
        <v>44990</v>
      </c>
      <c r="C36" t="s">
        <v>137</v>
      </c>
      <c r="D36" t="s">
        <v>52</v>
      </c>
      <c r="E36" t="s">
        <v>144</v>
      </c>
      <c r="F36" t="s">
        <v>48</v>
      </c>
      <c r="G36" t="s">
        <v>94</v>
      </c>
      <c r="H36" t="s">
        <v>95</v>
      </c>
      <c r="I36" s="5">
        <v>194.1</v>
      </c>
      <c r="J36" s="8">
        <v>2</v>
      </c>
      <c r="K36" s="5">
        <v>64.760000000000005</v>
      </c>
      <c r="L36" t="s">
        <v>21</v>
      </c>
      <c r="M36">
        <v>2023</v>
      </c>
      <c r="N36">
        <f t="shared" si="0"/>
        <v>3</v>
      </c>
    </row>
    <row r="37" spans="1:14" x14ac:dyDescent="0.25">
      <c r="A37" t="s">
        <v>285</v>
      </c>
      <c r="B37" s="2">
        <v>44991</v>
      </c>
      <c r="C37" t="s">
        <v>114</v>
      </c>
      <c r="D37" t="s">
        <v>66</v>
      </c>
      <c r="E37" t="s">
        <v>67</v>
      </c>
      <c r="F37" t="s">
        <v>18</v>
      </c>
      <c r="G37" t="s">
        <v>32</v>
      </c>
      <c r="H37" t="s">
        <v>147</v>
      </c>
      <c r="I37" s="5">
        <v>3014.68</v>
      </c>
      <c r="J37" s="8">
        <v>4</v>
      </c>
      <c r="K37" s="5">
        <v>1531.51</v>
      </c>
      <c r="L37" t="s">
        <v>29</v>
      </c>
      <c r="M37">
        <v>2023</v>
      </c>
      <c r="N37">
        <f t="shared" si="0"/>
        <v>3</v>
      </c>
    </row>
    <row r="38" spans="1:14" x14ac:dyDescent="0.25">
      <c r="A38" t="s">
        <v>702</v>
      </c>
      <c r="B38" s="2">
        <v>44991</v>
      </c>
      <c r="C38" t="s">
        <v>114</v>
      </c>
      <c r="D38" t="s">
        <v>79</v>
      </c>
      <c r="E38" t="s">
        <v>149</v>
      </c>
      <c r="F38" t="s">
        <v>48</v>
      </c>
      <c r="G38" t="s">
        <v>68</v>
      </c>
      <c r="H38" t="s">
        <v>202</v>
      </c>
      <c r="I38" s="5">
        <v>10.06</v>
      </c>
      <c r="J38" s="8">
        <v>1</v>
      </c>
      <c r="K38" s="5">
        <v>3.19</v>
      </c>
      <c r="L38" t="s">
        <v>38</v>
      </c>
      <c r="M38">
        <v>2023</v>
      </c>
      <c r="N38">
        <f t="shared" si="0"/>
        <v>3</v>
      </c>
    </row>
    <row r="39" spans="1:14" x14ac:dyDescent="0.25">
      <c r="A39" t="s">
        <v>179</v>
      </c>
      <c r="B39" s="2">
        <v>44993</v>
      </c>
      <c r="C39" t="s">
        <v>137</v>
      </c>
      <c r="D39" t="s">
        <v>66</v>
      </c>
      <c r="E39" t="s">
        <v>180</v>
      </c>
      <c r="F39" t="s">
        <v>48</v>
      </c>
      <c r="G39" t="s">
        <v>94</v>
      </c>
      <c r="H39" t="s">
        <v>104</v>
      </c>
      <c r="I39" s="5">
        <v>3800.2</v>
      </c>
      <c r="J39" s="8">
        <v>5</v>
      </c>
      <c r="K39" s="5">
        <v>1639.07</v>
      </c>
      <c r="L39" t="s">
        <v>21</v>
      </c>
      <c r="M39">
        <v>2023</v>
      </c>
      <c r="N39">
        <f t="shared" si="0"/>
        <v>3</v>
      </c>
    </row>
    <row r="40" spans="1:14" x14ac:dyDescent="0.25">
      <c r="A40" t="s">
        <v>261</v>
      </c>
      <c r="B40" s="2">
        <v>44993</v>
      </c>
      <c r="C40" t="s">
        <v>120</v>
      </c>
      <c r="D40" t="s">
        <v>16</v>
      </c>
      <c r="E40" t="s">
        <v>17</v>
      </c>
      <c r="F40" t="s">
        <v>18</v>
      </c>
      <c r="G40" t="s">
        <v>19</v>
      </c>
      <c r="H40" t="s">
        <v>72</v>
      </c>
      <c r="I40" s="5">
        <v>4183.4799999999996</v>
      </c>
      <c r="J40" s="8">
        <v>7</v>
      </c>
      <c r="K40" s="5">
        <v>813.1</v>
      </c>
      <c r="L40" t="s">
        <v>29</v>
      </c>
      <c r="M40">
        <v>2023</v>
      </c>
      <c r="N40">
        <f t="shared" si="0"/>
        <v>3</v>
      </c>
    </row>
    <row r="41" spans="1:14" x14ac:dyDescent="0.25">
      <c r="A41" t="s">
        <v>353</v>
      </c>
      <c r="B41" s="2">
        <v>44993</v>
      </c>
      <c r="C41" t="s">
        <v>57</v>
      </c>
      <c r="D41" t="s">
        <v>74</v>
      </c>
      <c r="E41" t="s">
        <v>75</v>
      </c>
      <c r="F41" t="s">
        <v>48</v>
      </c>
      <c r="G41" t="s">
        <v>151</v>
      </c>
      <c r="H41" t="s">
        <v>174</v>
      </c>
      <c r="I41" s="5">
        <v>1584.7</v>
      </c>
      <c r="J41" s="8">
        <v>5</v>
      </c>
      <c r="K41" s="5">
        <v>358.94</v>
      </c>
      <c r="L41" t="s">
        <v>38</v>
      </c>
      <c r="M41">
        <v>2023</v>
      </c>
      <c r="N41">
        <f t="shared" si="0"/>
        <v>3</v>
      </c>
    </row>
    <row r="42" spans="1:14" x14ac:dyDescent="0.25">
      <c r="A42" t="s">
        <v>411</v>
      </c>
      <c r="B42" s="2">
        <v>44998</v>
      </c>
      <c r="C42" t="s">
        <v>78</v>
      </c>
      <c r="D42" t="s">
        <v>41</v>
      </c>
      <c r="E42" t="s">
        <v>42</v>
      </c>
      <c r="F42" t="s">
        <v>48</v>
      </c>
      <c r="G42" t="s">
        <v>49</v>
      </c>
      <c r="H42" t="s">
        <v>50</v>
      </c>
      <c r="I42" s="5">
        <v>2361.35</v>
      </c>
      <c r="J42" s="8">
        <v>7</v>
      </c>
      <c r="K42" s="5">
        <v>512.70000000000005</v>
      </c>
      <c r="L42" t="s">
        <v>29</v>
      </c>
      <c r="M42">
        <v>2023</v>
      </c>
      <c r="N42">
        <f t="shared" si="0"/>
        <v>3</v>
      </c>
    </row>
    <row r="43" spans="1:14" x14ac:dyDescent="0.25">
      <c r="A43" t="s">
        <v>196</v>
      </c>
      <c r="B43" s="2">
        <v>45000</v>
      </c>
      <c r="C43" t="s">
        <v>35</v>
      </c>
      <c r="D43" t="s">
        <v>16</v>
      </c>
      <c r="E43" t="s">
        <v>190</v>
      </c>
      <c r="F43" t="s">
        <v>18</v>
      </c>
      <c r="G43" t="s">
        <v>32</v>
      </c>
      <c r="H43" t="s">
        <v>33</v>
      </c>
      <c r="I43" s="5">
        <v>4402.38</v>
      </c>
      <c r="J43" s="8">
        <v>8</v>
      </c>
      <c r="K43" s="5">
        <v>1814.9</v>
      </c>
      <c r="L43" t="s">
        <v>29</v>
      </c>
      <c r="M43">
        <v>2023</v>
      </c>
      <c r="N43">
        <f t="shared" si="0"/>
        <v>3</v>
      </c>
    </row>
    <row r="44" spans="1:14" x14ac:dyDescent="0.25">
      <c r="A44" t="s">
        <v>485</v>
      </c>
      <c r="B44" s="2">
        <v>45009</v>
      </c>
      <c r="C44" t="s">
        <v>62</v>
      </c>
      <c r="D44" t="s">
        <v>66</v>
      </c>
      <c r="E44" t="s">
        <v>67</v>
      </c>
      <c r="F44" t="s">
        <v>18</v>
      </c>
      <c r="G44" t="s">
        <v>54</v>
      </c>
      <c r="H44" t="s">
        <v>55</v>
      </c>
      <c r="I44" s="5">
        <v>2721.33</v>
      </c>
      <c r="J44" s="8">
        <v>6</v>
      </c>
      <c r="K44" s="5">
        <v>1277.21</v>
      </c>
      <c r="L44" t="s">
        <v>21</v>
      </c>
      <c r="M44">
        <v>2023</v>
      </c>
      <c r="N44">
        <f t="shared" si="0"/>
        <v>3</v>
      </c>
    </row>
    <row r="45" spans="1:14" x14ac:dyDescent="0.25">
      <c r="A45" t="s">
        <v>230</v>
      </c>
      <c r="B45" s="2">
        <v>45013</v>
      </c>
      <c r="C45" t="s">
        <v>160</v>
      </c>
      <c r="D45" t="s">
        <v>74</v>
      </c>
      <c r="E45" t="s">
        <v>213</v>
      </c>
      <c r="F45" t="s">
        <v>18</v>
      </c>
      <c r="G45" t="s">
        <v>19</v>
      </c>
      <c r="H45" t="s">
        <v>20</v>
      </c>
      <c r="I45" s="5">
        <v>2210.46</v>
      </c>
      <c r="J45" s="8">
        <v>7</v>
      </c>
      <c r="K45" s="5">
        <v>1186.3599999999999</v>
      </c>
      <c r="L45" t="s">
        <v>38</v>
      </c>
      <c r="M45">
        <v>2023</v>
      </c>
      <c r="N45">
        <f t="shared" si="0"/>
        <v>4</v>
      </c>
    </row>
    <row r="46" spans="1:14" x14ac:dyDescent="0.25">
      <c r="A46" t="s">
        <v>455</v>
      </c>
      <c r="B46" s="2">
        <v>45022</v>
      </c>
      <c r="C46" t="s">
        <v>114</v>
      </c>
      <c r="D46" t="s">
        <v>125</v>
      </c>
      <c r="E46" t="s">
        <v>126</v>
      </c>
      <c r="F46" t="s">
        <v>26</v>
      </c>
      <c r="G46" t="s">
        <v>81</v>
      </c>
      <c r="H46" t="s">
        <v>112</v>
      </c>
      <c r="I46" s="5">
        <v>2542.1</v>
      </c>
      <c r="J46" s="8">
        <v>7</v>
      </c>
      <c r="K46" s="5">
        <v>1200.72</v>
      </c>
      <c r="L46" t="s">
        <v>29</v>
      </c>
      <c r="M46">
        <v>2023</v>
      </c>
      <c r="N46">
        <f t="shared" si="0"/>
        <v>4</v>
      </c>
    </row>
    <row r="47" spans="1:14" x14ac:dyDescent="0.25">
      <c r="A47" t="s">
        <v>310</v>
      </c>
      <c r="B47" s="2">
        <v>45023</v>
      </c>
      <c r="C47" t="s">
        <v>124</v>
      </c>
      <c r="D47" t="s">
        <v>74</v>
      </c>
      <c r="E47" t="s">
        <v>213</v>
      </c>
      <c r="F47" t="s">
        <v>18</v>
      </c>
      <c r="G47" t="s">
        <v>54</v>
      </c>
      <c r="H47" t="s">
        <v>55</v>
      </c>
      <c r="I47" s="5">
        <v>3834.62</v>
      </c>
      <c r="J47" s="8">
        <v>8</v>
      </c>
      <c r="K47" s="5">
        <v>1563.93</v>
      </c>
      <c r="L47" t="s">
        <v>21</v>
      </c>
      <c r="M47">
        <v>2023</v>
      </c>
      <c r="N47">
        <f t="shared" si="0"/>
        <v>4</v>
      </c>
    </row>
    <row r="48" spans="1:14" x14ac:dyDescent="0.25">
      <c r="A48" t="s">
        <v>438</v>
      </c>
      <c r="B48" s="2">
        <v>45025</v>
      </c>
      <c r="C48" t="s">
        <v>23</v>
      </c>
      <c r="D48" t="s">
        <v>74</v>
      </c>
      <c r="E48" t="s">
        <v>213</v>
      </c>
      <c r="F48" t="s">
        <v>26</v>
      </c>
      <c r="G48" t="s">
        <v>89</v>
      </c>
      <c r="H48" t="s">
        <v>90</v>
      </c>
      <c r="I48" s="5">
        <v>659.92</v>
      </c>
      <c r="J48" s="8">
        <v>1</v>
      </c>
      <c r="K48" s="5">
        <v>332.97</v>
      </c>
      <c r="L48" t="s">
        <v>21</v>
      </c>
      <c r="M48">
        <v>2023</v>
      </c>
      <c r="N48">
        <f t="shared" si="0"/>
        <v>4</v>
      </c>
    </row>
    <row r="49" spans="1:14" x14ac:dyDescent="0.25">
      <c r="A49" t="s">
        <v>319</v>
      </c>
      <c r="B49" s="2">
        <v>45026</v>
      </c>
      <c r="C49" t="s">
        <v>23</v>
      </c>
      <c r="D49" t="s">
        <v>74</v>
      </c>
      <c r="E49" t="s">
        <v>97</v>
      </c>
      <c r="F49" t="s">
        <v>26</v>
      </c>
      <c r="G49" t="s">
        <v>89</v>
      </c>
      <c r="H49" t="s">
        <v>90</v>
      </c>
      <c r="I49" s="5">
        <v>127.65</v>
      </c>
      <c r="J49" s="8">
        <v>2</v>
      </c>
      <c r="K49" s="5">
        <v>25.35</v>
      </c>
      <c r="L49" t="s">
        <v>21</v>
      </c>
      <c r="M49">
        <v>2023</v>
      </c>
      <c r="N49">
        <f t="shared" si="0"/>
        <v>4</v>
      </c>
    </row>
    <row r="50" spans="1:14" x14ac:dyDescent="0.25">
      <c r="A50" t="s">
        <v>603</v>
      </c>
      <c r="B50" s="2">
        <v>45030</v>
      </c>
      <c r="C50" t="s">
        <v>160</v>
      </c>
      <c r="D50" t="s">
        <v>66</v>
      </c>
      <c r="E50" t="s">
        <v>180</v>
      </c>
      <c r="F50" t="s">
        <v>48</v>
      </c>
      <c r="G50" t="s">
        <v>68</v>
      </c>
      <c r="H50" t="s">
        <v>202</v>
      </c>
      <c r="I50" s="5">
        <v>1573.92</v>
      </c>
      <c r="J50" s="8">
        <v>8</v>
      </c>
      <c r="K50" s="5">
        <v>486.16</v>
      </c>
      <c r="L50" t="s">
        <v>21</v>
      </c>
      <c r="M50">
        <v>2023</v>
      </c>
      <c r="N50">
        <f t="shared" si="0"/>
        <v>4</v>
      </c>
    </row>
    <row r="51" spans="1:14" x14ac:dyDescent="0.25">
      <c r="A51" t="s">
        <v>187</v>
      </c>
      <c r="B51" s="2">
        <v>45032</v>
      </c>
      <c r="C51" t="s">
        <v>57</v>
      </c>
      <c r="D51" t="s">
        <v>24</v>
      </c>
      <c r="E51" t="s">
        <v>25</v>
      </c>
      <c r="F51" t="s">
        <v>18</v>
      </c>
      <c r="G51" t="s">
        <v>19</v>
      </c>
      <c r="H51" t="s">
        <v>72</v>
      </c>
      <c r="I51" s="5">
        <v>5625.98</v>
      </c>
      <c r="J51" s="8">
        <v>8</v>
      </c>
      <c r="K51" s="5">
        <v>1645.94</v>
      </c>
      <c r="L51" t="s">
        <v>21</v>
      </c>
      <c r="M51">
        <v>2023</v>
      </c>
      <c r="N51">
        <f t="shared" si="0"/>
        <v>4</v>
      </c>
    </row>
    <row r="52" spans="1:14" x14ac:dyDescent="0.25">
      <c r="A52" t="s">
        <v>537</v>
      </c>
      <c r="B52" s="2">
        <v>45033</v>
      </c>
      <c r="C52" t="s">
        <v>114</v>
      </c>
      <c r="D52" t="s">
        <v>86</v>
      </c>
      <c r="E52" t="s">
        <v>87</v>
      </c>
      <c r="F52" t="s">
        <v>18</v>
      </c>
      <c r="G52" t="s">
        <v>19</v>
      </c>
      <c r="H52" t="s">
        <v>20</v>
      </c>
      <c r="I52" s="5">
        <v>4390.26</v>
      </c>
      <c r="J52" s="8">
        <v>6</v>
      </c>
      <c r="K52" s="5">
        <v>1868.24</v>
      </c>
      <c r="L52" t="s">
        <v>21</v>
      </c>
      <c r="M52">
        <v>2023</v>
      </c>
      <c r="N52">
        <f t="shared" si="0"/>
        <v>4</v>
      </c>
    </row>
    <row r="53" spans="1:14" x14ac:dyDescent="0.25">
      <c r="A53" t="s">
        <v>226</v>
      </c>
      <c r="B53" s="2">
        <v>45034</v>
      </c>
      <c r="C53" t="s">
        <v>46</v>
      </c>
      <c r="D53" t="s">
        <v>36</v>
      </c>
      <c r="E53" t="s">
        <v>47</v>
      </c>
      <c r="F53" t="s">
        <v>48</v>
      </c>
      <c r="G53" t="s">
        <v>49</v>
      </c>
      <c r="H53" t="s">
        <v>158</v>
      </c>
      <c r="I53" s="5">
        <v>127.29</v>
      </c>
      <c r="J53" s="8">
        <v>2</v>
      </c>
      <c r="K53" s="5">
        <v>46.39</v>
      </c>
      <c r="L53" t="s">
        <v>21</v>
      </c>
      <c r="M53">
        <v>2023</v>
      </c>
      <c r="N53">
        <f t="shared" si="0"/>
        <v>4</v>
      </c>
    </row>
    <row r="54" spans="1:14" x14ac:dyDescent="0.25">
      <c r="A54" t="s">
        <v>239</v>
      </c>
      <c r="B54" s="2">
        <v>45034</v>
      </c>
      <c r="C54" t="s">
        <v>35</v>
      </c>
      <c r="D54" t="s">
        <v>36</v>
      </c>
      <c r="E54" t="s">
        <v>37</v>
      </c>
      <c r="F54" t="s">
        <v>48</v>
      </c>
      <c r="G54" t="s">
        <v>94</v>
      </c>
      <c r="H54" t="s">
        <v>104</v>
      </c>
      <c r="I54" s="5">
        <v>3882.55</v>
      </c>
      <c r="J54" s="8">
        <v>6</v>
      </c>
      <c r="K54" s="5">
        <v>993.08</v>
      </c>
      <c r="L54" t="s">
        <v>21</v>
      </c>
      <c r="M54">
        <v>2023</v>
      </c>
      <c r="N54">
        <f t="shared" si="0"/>
        <v>4</v>
      </c>
    </row>
    <row r="55" spans="1:14" x14ac:dyDescent="0.25">
      <c r="A55" t="s">
        <v>700</v>
      </c>
      <c r="B55" s="2">
        <v>45035</v>
      </c>
      <c r="C55" t="s">
        <v>62</v>
      </c>
      <c r="D55" t="s">
        <v>79</v>
      </c>
      <c r="E55" t="s">
        <v>138</v>
      </c>
      <c r="F55" t="s">
        <v>26</v>
      </c>
      <c r="G55" t="s">
        <v>27</v>
      </c>
      <c r="H55" t="s">
        <v>101</v>
      </c>
      <c r="I55" s="5">
        <v>1252.46</v>
      </c>
      <c r="J55" s="8">
        <v>2</v>
      </c>
      <c r="K55" s="5">
        <v>487</v>
      </c>
      <c r="L55" t="s">
        <v>21</v>
      </c>
      <c r="M55">
        <v>2023</v>
      </c>
      <c r="N55">
        <f t="shared" si="0"/>
        <v>4</v>
      </c>
    </row>
    <row r="56" spans="1:14" x14ac:dyDescent="0.25">
      <c r="A56" t="s">
        <v>175</v>
      </c>
      <c r="B56" s="2">
        <v>45036</v>
      </c>
      <c r="C56" t="s">
        <v>120</v>
      </c>
      <c r="D56" t="s">
        <v>79</v>
      </c>
      <c r="E56" t="s">
        <v>80</v>
      </c>
      <c r="F56" t="s">
        <v>26</v>
      </c>
      <c r="G56" t="s">
        <v>98</v>
      </c>
      <c r="H56" t="s">
        <v>176</v>
      </c>
      <c r="I56" s="5">
        <v>1378.36</v>
      </c>
      <c r="J56" s="8">
        <v>2</v>
      </c>
      <c r="K56" s="5">
        <v>634.6</v>
      </c>
      <c r="L56" t="s">
        <v>21</v>
      </c>
      <c r="M56">
        <v>2023</v>
      </c>
      <c r="N56">
        <f t="shared" si="0"/>
        <v>4</v>
      </c>
    </row>
    <row r="57" spans="1:14" x14ac:dyDescent="0.25">
      <c r="A57" t="s">
        <v>405</v>
      </c>
      <c r="B57" s="2">
        <v>45036</v>
      </c>
      <c r="C57" t="s">
        <v>31</v>
      </c>
      <c r="D57" t="s">
        <v>24</v>
      </c>
      <c r="E57" t="s">
        <v>103</v>
      </c>
      <c r="F57" t="s">
        <v>18</v>
      </c>
      <c r="G57" t="s">
        <v>54</v>
      </c>
      <c r="H57" t="s">
        <v>55</v>
      </c>
      <c r="I57" s="5">
        <v>169.54</v>
      </c>
      <c r="J57" s="8">
        <v>3</v>
      </c>
      <c r="K57" s="5">
        <v>90.23</v>
      </c>
      <c r="L57" t="s">
        <v>21</v>
      </c>
      <c r="M57">
        <v>2023</v>
      </c>
      <c r="N57">
        <f t="shared" si="0"/>
        <v>4</v>
      </c>
    </row>
    <row r="58" spans="1:14" x14ac:dyDescent="0.25">
      <c r="A58" t="s">
        <v>431</v>
      </c>
      <c r="B58" s="2">
        <v>45037</v>
      </c>
      <c r="C58" t="s">
        <v>120</v>
      </c>
      <c r="D58" t="s">
        <v>125</v>
      </c>
      <c r="E58" t="s">
        <v>141</v>
      </c>
      <c r="F58" t="s">
        <v>26</v>
      </c>
      <c r="G58" t="s">
        <v>98</v>
      </c>
      <c r="H58" t="s">
        <v>176</v>
      </c>
      <c r="I58" s="5">
        <v>5672.14</v>
      </c>
      <c r="J58" s="8">
        <v>7</v>
      </c>
      <c r="K58" s="5">
        <v>1205.98</v>
      </c>
      <c r="L58" t="s">
        <v>21</v>
      </c>
      <c r="M58">
        <v>2023</v>
      </c>
      <c r="N58">
        <f t="shared" si="0"/>
        <v>4</v>
      </c>
    </row>
    <row r="59" spans="1:14" x14ac:dyDescent="0.25">
      <c r="A59" t="s">
        <v>650</v>
      </c>
      <c r="B59" s="2">
        <v>45037</v>
      </c>
      <c r="C59" t="s">
        <v>137</v>
      </c>
      <c r="D59" t="s">
        <v>79</v>
      </c>
      <c r="E59" t="s">
        <v>138</v>
      </c>
      <c r="F59" t="s">
        <v>26</v>
      </c>
      <c r="G59" t="s">
        <v>27</v>
      </c>
      <c r="H59" t="s">
        <v>28</v>
      </c>
      <c r="I59" s="5">
        <v>550.71</v>
      </c>
      <c r="J59" s="8">
        <v>1</v>
      </c>
      <c r="K59" s="5">
        <v>155.11000000000001</v>
      </c>
      <c r="L59" t="s">
        <v>21</v>
      </c>
      <c r="M59">
        <v>2023</v>
      </c>
      <c r="N59">
        <f t="shared" si="0"/>
        <v>4</v>
      </c>
    </row>
    <row r="60" spans="1:14" x14ac:dyDescent="0.25">
      <c r="A60" t="s">
        <v>555</v>
      </c>
      <c r="B60" s="2">
        <v>45041</v>
      </c>
      <c r="C60" t="s">
        <v>111</v>
      </c>
      <c r="D60" t="s">
        <v>41</v>
      </c>
      <c r="E60" t="s">
        <v>58</v>
      </c>
      <c r="F60" t="s">
        <v>48</v>
      </c>
      <c r="G60" t="s">
        <v>151</v>
      </c>
      <c r="H60" t="s">
        <v>152</v>
      </c>
      <c r="I60" s="5">
        <v>1260.94</v>
      </c>
      <c r="J60" s="8">
        <v>2</v>
      </c>
      <c r="K60" s="5">
        <v>312.89</v>
      </c>
      <c r="L60" t="s">
        <v>21</v>
      </c>
      <c r="M60">
        <v>2023</v>
      </c>
      <c r="N60">
        <f t="shared" si="0"/>
        <v>4</v>
      </c>
    </row>
    <row r="61" spans="1:14" x14ac:dyDescent="0.25">
      <c r="A61" t="s">
        <v>77</v>
      </c>
      <c r="B61" s="2">
        <v>45045</v>
      </c>
      <c r="C61" t="s">
        <v>78</v>
      </c>
      <c r="D61" t="s">
        <v>79</v>
      </c>
      <c r="E61" t="s">
        <v>80</v>
      </c>
      <c r="F61" t="s">
        <v>26</v>
      </c>
      <c r="G61" t="s">
        <v>81</v>
      </c>
      <c r="H61" t="s">
        <v>82</v>
      </c>
      <c r="I61" s="5">
        <v>505.89</v>
      </c>
      <c r="J61" s="8">
        <v>4</v>
      </c>
      <c r="K61" s="5">
        <v>275.76</v>
      </c>
      <c r="L61" t="s">
        <v>21</v>
      </c>
      <c r="M61">
        <v>2023</v>
      </c>
      <c r="N61">
        <f t="shared" si="0"/>
        <v>4</v>
      </c>
    </row>
    <row r="62" spans="1:14" x14ac:dyDescent="0.25">
      <c r="A62" t="s">
        <v>683</v>
      </c>
      <c r="B62" s="2">
        <v>45046</v>
      </c>
      <c r="C62" t="s">
        <v>31</v>
      </c>
      <c r="D62" t="s">
        <v>36</v>
      </c>
      <c r="E62" t="s">
        <v>128</v>
      </c>
      <c r="F62" t="s">
        <v>18</v>
      </c>
      <c r="G62" t="s">
        <v>43</v>
      </c>
      <c r="H62" t="s">
        <v>76</v>
      </c>
      <c r="I62" s="5">
        <v>92.41</v>
      </c>
      <c r="J62" s="8">
        <v>3</v>
      </c>
      <c r="K62" s="5">
        <v>45.92</v>
      </c>
      <c r="L62" t="s">
        <v>21</v>
      </c>
      <c r="M62">
        <v>2023</v>
      </c>
      <c r="N62">
        <f t="shared" si="0"/>
        <v>5</v>
      </c>
    </row>
    <row r="63" spans="1:14" x14ac:dyDescent="0.25">
      <c r="A63" t="s">
        <v>633</v>
      </c>
      <c r="B63" s="2">
        <v>45050</v>
      </c>
      <c r="C63" t="s">
        <v>57</v>
      </c>
      <c r="D63" t="s">
        <v>16</v>
      </c>
      <c r="E63" t="s">
        <v>190</v>
      </c>
      <c r="F63" t="s">
        <v>26</v>
      </c>
      <c r="G63" t="s">
        <v>98</v>
      </c>
      <c r="H63" t="s">
        <v>176</v>
      </c>
      <c r="I63" s="5">
        <v>2631.38</v>
      </c>
      <c r="J63" s="8">
        <v>6</v>
      </c>
      <c r="K63" s="5">
        <v>1369.26</v>
      </c>
      <c r="L63" t="s">
        <v>21</v>
      </c>
      <c r="M63">
        <v>2023</v>
      </c>
      <c r="N63">
        <f t="shared" si="0"/>
        <v>5</v>
      </c>
    </row>
    <row r="64" spans="1:14" x14ac:dyDescent="0.25">
      <c r="A64" t="s">
        <v>93</v>
      </c>
      <c r="B64" s="2">
        <v>45051</v>
      </c>
      <c r="C64" t="s">
        <v>31</v>
      </c>
      <c r="D64" t="s">
        <v>36</v>
      </c>
      <c r="E64" t="s">
        <v>37</v>
      </c>
      <c r="F64" t="s">
        <v>48</v>
      </c>
      <c r="G64" t="s">
        <v>94</v>
      </c>
      <c r="H64" t="s">
        <v>95</v>
      </c>
      <c r="I64" s="5">
        <v>737.7</v>
      </c>
      <c r="J64" s="8">
        <v>2</v>
      </c>
      <c r="K64" s="5">
        <v>224.9</v>
      </c>
      <c r="L64" t="s">
        <v>38</v>
      </c>
      <c r="M64">
        <v>2023</v>
      </c>
      <c r="N64">
        <f t="shared" si="0"/>
        <v>5</v>
      </c>
    </row>
    <row r="65" spans="1:14" x14ac:dyDescent="0.25">
      <c r="A65" t="s">
        <v>410</v>
      </c>
      <c r="B65" s="2">
        <v>45051</v>
      </c>
      <c r="C65" t="s">
        <v>84</v>
      </c>
      <c r="D65" t="s">
        <v>16</v>
      </c>
      <c r="E65" t="s">
        <v>71</v>
      </c>
      <c r="F65" t="s">
        <v>48</v>
      </c>
      <c r="G65" t="s">
        <v>68</v>
      </c>
      <c r="H65" t="s">
        <v>202</v>
      </c>
      <c r="I65" s="5">
        <v>2203.75</v>
      </c>
      <c r="J65" s="8">
        <v>4</v>
      </c>
      <c r="K65" s="5">
        <v>546.22</v>
      </c>
      <c r="L65" t="s">
        <v>38</v>
      </c>
      <c r="M65">
        <v>2023</v>
      </c>
      <c r="N65">
        <f t="shared" si="0"/>
        <v>5</v>
      </c>
    </row>
    <row r="66" spans="1:14" x14ac:dyDescent="0.25">
      <c r="A66" t="s">
        <v>613</v>
      </c>
      <c r="B66" s="2">
        <v>45054</v>
      </c>
      <c r="C66" t="s">
        <v>15</v>
      </c>
      <c r="D66" t="s">
        <v>16</v>
      </c>
      <c r="E66" t="s">
        <v>71</v>
      </c>
      <c r="F66" t="s">
        <v>26</v>
      </c>
      <c r="G66" t="s">
        <v>98</v>
      </c>
      <c r="H66" t="s">
        <v>99</v>
      </c>
      <c r="I66" s="5">
        <v>2642.35</v>
      </c>
      <c r="J66" s="8">
        <v>5</v>
      </c>
      <c r="K66" s="5">
        <v>1190.31</v>
      </c>
      <c r="L66" t="s">
        <v>21</v>
      </c>
      <c r="M66">
        <v>2023</v>
      </c>
      <c r="N66">
        <f t="shared" ref="N66:N129" si="1">MONTH(B67)</f>
        <v>5</v>
      </c>
    </row>
    <row r="67" spans="1:14" x14ac:dyDescent="0.25">
      <c r="A67" t="s">
        <v>447</v>
      </c>
      <c r="B67" s="2">
        <v>45056</v>
      </c>
      <c r="C67" t="s">
        <v>31</v>
      </c>
      <c r="D67" t="s">
        <v>79</v>
      </c>
      <c r="E67" t="s">
        <v>138</v>
      </c>
      <c r="F67" t="s">
        <v>26</v>
      </c>
      <c r="G67" t="s">
        <v>98</v>
      </c>
      <c r="H67" t="s">
        <v>176</v>
      </c>
      <c r="I67" s="5">
        <v>532.97</v>
      </c>
      <c r="J67" s="8">
        <v>1</v>
      </c>
      <c r="K67" s="5">
        <v>203.91</v>
      </c>
      <c r="L67" t="s">
        <v>21</v>
      </c>
      <c r="M67">
        <v>2023</v>
      </c>
      <c r="N67">
        <f t="shared" si="1"/>
        <v>5</v>
      </c>
    </row>
    <row r="68" spans="1:14" x14ac:dyDescent="0.25">
      <c r="A68" t="s">
        <v>502</v>
      </c>
      <c r="B68" s="2">
        <v>45058</v>
      </c>
      <c r="C68" t="s">
        <v>40</v>
      </c>
      <c r="D68" t="s">
        <v>24</v>
      </c>
      <c r="E68" t="s">
        <v>25</v>
      </c>
      <c r="F68" t="s">
        <v>26</v>
      </c>
      <c r="G68" t="s">
        <v>98</v>
      </c>
      <c r="H68" t="s">
        <v>176</v>
      </c>
      <c r="I68" s="5">
        <v>908.85</v>
      </c>
      <c r="J68" s="8">
        <v>2</v>
      </c>
      <c r="K68" s="5">
        <v>489.38</v>
      </c>
      <c r="L68" t="s">
        <v>21</v>
      </c>
      <c r="M68">
        <v>2023</v>
      </c>
      <c r="N68">
        <f t="shared" si="1"/>
        <v>5</v>
      </c>
    </row>
    <row r="69" spans="1:14" x14ac:dyDescent="0.25">
      <c r="A69" t="s">
        <v>711</v>
      </c>
      <c r="B69" s="2">
        <v>45064</v>
      </c>
      <c r="C69" t="s">
        <v>84</v>
      </c>
      <c r="D69" t="s">
        <v>41</v>
      </c>
      <c r="E69" t="s">
        <v>58</v>
      </c>
      <c r="F69" t="s">
        <v>26</v>
      </c>
      <c r="G69" t="s">
        <v>89</v>
      </c>
      <c r="H69" t="s">
        <v>265</v>
      </c>
      <c r="I69" s="5">
        <v>1890.3</v>
      </c>
      <c r="J69" s="8">
        <v>5</v>
      </c>
      <c r="K69" s="5">
        <v>666.46</v>
      </c>
      <c r="L69" t="s">
        <v>29</v>
      </c>
      <c r="M69">
        <v>2023</v>
      </c>
      <c r="N69">
        <f t="shared" si="1"/>
        <v>5</v>
      </c>
    </row>
    <row r="70" spans="1:14" x14ac:dyDescent="0.25">
      <c r="A70" t="s">
        <v>88</v>
      </c>
      <c r="B70" s="2">
        <v>45065</v>
      </c>
      <c r="C70" t="s">
        <v>31</v>
      </c>
      <c r="D70" t="s">
        <v>41</v>
      </c>
      <c r="E70" t="s">
        <v>42</v>
      </c>
      <c r="F70" t="s">
        <v>26</v>
      </c>
      <c r="G70" t="s">
        <v>89</v>
      </c>
      <c r="H70" t="s">
        <v>90</v>
      </c>
      <c r="I70" s="5">
        <v>846.18</v>
      </c>
      <c r="J70" s="8">
        <v>4</v>
      </c>
      <c r="K70" s="5">
        <v>427.19</v>
      </c>
      <c r="L70" t="s">
        <v>21</v>
      </c>
      <c r="M70">
        <v>2023</v>
      </c>
      <c r="N70">
        <f t="shared" si="1"/>
        <v>5</v>
      </c>
    </row>
    <row r="71" spans="1:14" x14ac:dyDescent="0.25">
      <c r="A71" t="s">
        <v>508</v>
      </c>
      <c r="B71" s="2">
        <v>45065</v>
      </c>
      <c r="C71" t="s">
        <v>40</v>
      </c>
      <c r="D71" t="s">
        <v>79</v>
      </c>
      <c r="E71" t="s">
        <v>149</v>
      </c>
      <c r="F71" t="s">
        <v>26</v>
      </c>
      <c r="G71" t="s">
        <v>98</v>
      </c>
      <c r="H71" t="s">
        <v>99</v>
      </c>
      <c r="I71" s="5">
        <v>389.7</v>
      </c>
      <c r="J71" s="8">
        <v>5</v>
      </c>
      <c r="K71" s="5">
        <v>99.07</v>
      </c>
      <c r="L71" t="s">
        <v>38</v>
      </c>
      <c r="M71">
        <v>2023</v>
      </c>
      <c r="N71">
        <f t="shared" si="1"/>
        <v>5</v>
      </c>
    </row>
    <row r="72" spans="1:14" x14ac:dyDescent="0.25">
      <c r="A72" t="s">
        <v>110</v>
      </c>
      <c r="B72" s="2">
        <v>45067</v>
      </c>
      <c r="C72" t="s">
        <v>111</v>
      </c>
      <c r="D72" t="s">
        <v>16</v>
      </c>
      <c r="E72" t="s">
        <v>71</v>
      </c>
      <c r="F72" t="s">
        <v>26</v>
      </c>
      <c r="G72" t="s">
        <v>81</v>
      </c>
      <c r="H72" t="s">
        <v>112</v>
      </c>
      <c r="I72" s="5">
        <v>1344.41</v>
      </c>
      <c r="J72" s="8">
        <v>6</v>
      </c>
      <c r="K72" s="5">
        <v>447.56</v>
      </c>
      <c r="L72" t="s">
        <v>21</v>
      </c>
      <c r="M72">
        <v>2023</v>
      </c>
      <c r="N72">
        <f t="shared" si="1"/>
        <v>5</v>
      </c>
    </row>
    <row r="73" spans="1:14" x14ac:dyDescent="0.25">
      <c r="A73" t="s">
        <v>214</v>
      </c>
      <c r="B73" s="2">
        <v>45067</v>
      </c>
      <c r="C73" t="s">
        <v>92</v>
      </c>
      <c r="D73" t="s">
        <v>24</v>
      </c>
      <c r="E73" t="s">
        <v>103</v>
      </c>
      <c r="F73" t="s">
        <v>26</v>
      </c>
      <c r="G73" t="s">
        <v>27</v>
      </c>
      <c r="H73" t="s">
        <v>28</v>
      </c>
      <c r="I73" s="5">
        <v>2421.9899999999998</v>
      </c>
      <c r="J73" s="8">
        <v>4</v>
      </c>
      <c r="K73" s="5">
        <v>500.19</v>
      </c>
      <c r="L73" t="s">
        <v>29</v>
      </c>
      <c r="M73">
        <v>2023</v>
      </c>
      <c r="N73">
        <f t="shared" si="1"/>
        <v>5</v>
      </c>
    </row>
    <row r="74" spans="1:14" x14ac:dyDescent="0.25">
      <c r="A74" t="s">
        <v>505</v>
      </c>
      <c r="B74" s="2">
        <v>45067</v>
      </c>
      <c r="C74" t="s">
        <v>15</v>
      </c>
      <c r="D74" t="s">
        <v>36</v>
      </c>
      <c r="E74" t="s">
        <v>128</v>
      </c>
      <c r="F74" t="s">
        <v>48</v>
      </c>
      <c r="G74" t="s">
        <v>94</v>
      </c>
      <c r="H74" t="s">
        <v>95</v>
      </c>
      <c r="I74" s="5">
        <v>316.39999999999998</v>
      </c>
      <c r="J74" s="8">
        <v>1</v>
      </c>
      <c r="K74" s="5">
        <v>118.5</v>
      </c>
      <c r="L74" t="s">
        <v>21</v>
      </c>
      <c r="M74">
        <v>2023</v>
      </c>
      <c r="N74">
        <f t="shared" si="1"/>
        <v>5</v>
      </c>
    </row>
    <row r="75" spans="1:14" x14ac:dyDescent="0.25">
      <c r="A75" t="s">
        <v>531</v>
      </c>
      <c r="B75" s="2">
        <v>45067</v>
      </c>
      <c r="C75" t="s">
        <v>120</v>
      </c>
      <c r="D75" t="s">
        <v>86</v>
      </c>
      <c r="E75" t="s">
        <v>116</v>
      </c>
      <c r="F75" t="s">
        <v>18</v>
      </c>
      <c r="G75" t="s">
        <v>19</v>
      </c>
      <c r="H75" t="s">
        <v>72</v>
      </c>
      <c r="I75" s="5">
        <v>121.48</v>
      </c>
      <c r="J75" s="8">
        <v>4</v>
      </c>
      <c r="K75" s="5">
        <v>22.3</v>
      </c>
      <c r="L75" t="s">
        <v>21</v>
      </c>
      <c r="M75">
        <v>2023</v>
      </c>
      <c r="N75">
        <f t="shared" si="1"/>
        <v>5</v>
      </c>
    </row>
    <row r="76" spans="1:14" x14ac:dyDescent="0.25">
      <c r="A76" t="s">
        <v>479</v>
      </c>
      <c r="B76" s="2">
        <v>45069</v>
      </c>
      <c r="C76" t="s">
        <v>31</v>
      </c>
      <c r="D76" t="s">
        <v>36</v>
      </c>
      <c r="E76" t="s">
        <v>37</v>
      </c>
      <c r="F76" t="s">
        <v>26</v>
      </c>
      <c r="G76" t="s">
        <v>27</v>
      </c>
      <c r="H76" t="s">
        <v>101</v>
      </c>
      <c r="I76" s="5">
        <v>2383.8000000000002</v>
      </c>
      <c r="J76" s="8">
        <v>5</v>
      </c>
      <c r="K76" s="5">
        <v>628.55999999999995</v>
      </c>
      <c r="L76" t="s">
        <v>21</v>
      </c>
      <c r="M76">
        <v>2023</v>
      </c>
      <c r="N76">
        <f t="shared" si="1"/>
        <v>5</v>
      </c>
    </row>
    <row r="77" spans="1:14" x14ac:dyDescent="0.25">
      <c r="A77" t="s">
        <v>132</v>
      </c>
      <c r="B77" s="2">
        <v>45070</v>
      </c>
      <c r="C77" t="s">
        <v>133</v>
      </c>
      <c r="D77" t="s">
        <v>52</v>
      </c>
      <c r="E77" t="s">
        <v>107</v>
      </c>
      <c r="F77" t="s">
        <v>18</v>
      </c>
      <c r="G77" t="s">
        <v>54</v>
      </c>
      <c r="H77" t="s">
        <v>55</v>
      </c>
      <c r="I77" s="5">
        <v>4047.06</v>
      </c>
      <c r="J77" s="8">
        <v>7</v>
      </c>
      <c r="K77" s="5">
        <v>1385.47</v>
      </c>
      <c r="L77" t="s">
        <v>21</v>
      </c>
      <c r="M77">
        <v>2023</v>
      </c>
      <c r="N77">
        <f t="shared" si="1"/>
        <v>5</v>
      </c>
    </row>
    <row r="78" spans="1:14" x14ac:dyDescent="0.25">
      <c r="A78" t="s">
        <v>635</v>
      </c>
      <c r="B78" s="2">
        <v>45071</v>
      </c>
      <c r="C78" t="s">
        <v>57</v>
      </c>
      <c r="D78" t="s">
        <v>79</v>
      </c>
      <c r="E78" t="s">
        <v>149</v>
      </c>
      <c r="F78" t="s">
        <v>48</v>
      </c>
      <c r="G78" t="s">
        <v>151</v>
      </c>
      <c r="H78" t="s">
        <v>174</v>
      </c>
      <c r="I78" s="5">
        <v>1119.56</v>
      </c>
      <c r="J78" s="8">
        <v>2</v>
      </c>
      <c r="K78" s="5">
        <v>349.16</v>
      </c>
      <c r="L78" t="s">
        <v>29</v>
      </c>
      <c r="M78">
        <v>2023</v>
      </c>
      <c r="N78">
        <f t="shared" si="1"/>
        <v>5</v>
      </c>
    </row>
    <row r="79" spans="1:14" x14ac:dyDescent="0.25">
      <c r="A79" t="s">
        <v>45</v>
      </c>
      <c r="B79" s="2">
        <v>45073</v>
      </c>
      <c r="C79" t="s">
        <v>46</v>
      </c>
      <c r="D79" t="s">
        <v>36</v>
      </c>
      <c r="E79" t="s">
        <v>47</v>
      </c>
      <c r="F79" t="s">
        <v>48</v>
      </c>
      <c r="G79" t="s">
        <v>49</v>
      </c>
      <c r="H79" t="s">
        <v>50</v>
      </c>
      <c r="I79" s="5">
        <v>39.29</v>
      </c>
      <c r="J79" s="8">
        <v>5</v>
      </c>
      <c r="K79" s="5">
        <v>18.940000000000001</v>
      </c>
      <c r="L79" t="s">
        <v>29</v>
      </c>
      <c r="M79">
        <v>2023</v>
      </c>
      <c r="N79">
        <f t="shared" si="1"/>
        <v>5</v>
      </c>
    </row>
    <row r="80" spans="1:14" x14ac:dyDescent="0.25">
      <c r="A80" t="s">
        <v>472</v>
      </c>
      <c r="B80" s="2">
        <v>45077</v>
      </c>
      <c r="C80" t="s">
        <v>46</v>
      </c>
      <c r="D80" t="s">
        <v>24</v>
      </c>
      <c r="E80" t="s">
        <v>103</v>
      </c>
      <c r="F80" t="s">
        <v>18</v>
      </c>
      <c r="G80" t="s">
        <v>19</v>
      </c>
      <c r="H80" t="s">
        <v>20</v>
      </c>
      <c r="I80" s="5">
        <v>225.44</v>
      </c>
      <c r="J80" s="8">
        <v>2</v>
      </c>
      <c r="K80" s="5">
        <v>99.54</v>
      </c>
      <c r="L80" t="s">
        <v>21</v>
      </c>
      <c r="M80">
        <v>2023</v>
      </c>
      <c r="N80">
        <f t="shared" si="1"/>
        <v>6</v>
      </c>
    </row>
    <row r="81" spans="1:14" x14ac:dyDescent="0.25">
      <c r="A81" t="s">
        <v>338</v>
      </c>
      <c r="B81" s="2">
        <v>45078</v>
      </c>
      <c r="C81" t="s">
        <v>133</v>
      </c>
      <c r="D81" t="s">
        <v>125</v>
      </c>
      <c r="E81" t="s">
        <v>126</v>
      </c>
      <c r="F81" t="s">
        <v>18</v>
      </c>
      <c r="G81" t="s">
        <v>54</v>
      </c>
      <c r="H81" t="s">
        <v>55</v>
      </c>
      <c r="I81" s="5">
        <v>5836.67</v>
      </c>
      <c r="J81" s="8">
        <v>7</v>
      </c>
      <c r="K81" s="5">
        <v>1936.12</v>
      </c>
      <c r="L81" t="s">
        <v>38</v>
      </c>
      <c r="M81">
        <v>2023</v>
      </c>
      <c r="N81">
        <f t="shared" si="1"/>
        <v>6</v>
      </c>
    </row>
    <row r="82" spans="1:14" x14ac:dyDescent="0.25">
      <c r="A82" t="s">
        <v>195</v>
      </c>
      <c r="B82" s="2">
        <v>45080</v>
      </c>
      <c r="C82" t="s">
        <v>57</v>
      </c>
      <c r="D82" t="s">
        <v>74</v>
      </c>
      <c r="E82" t="s">
        <v>97</v>
      </c>
      <c r="F82" t="s">
        <v>26</v>
      </c>
      <c r="G82" t="s">
        <v>27</v>
      </c>
      <c r="H82" t="s">
        <v>162</v>
      </c>
      <c r="I82" s="5">
        <v>235.6</v>
      </c>
      <c r="J82" s="8">
        <v>3</v>
      </c>
      <c r="K82" s="5">
        <v>51.25</v>
      </c>
      <c r="L82" t="s">
        <v>38</v>
      </c>
      <c r="M82">
        <v>2023</v>
      </c>
      <c r="N82">
        <f t="shared" si="1"/>
        <v>6</v>
      </c>
    </row>
    <row r="83" spans="1:14" x14ac:dyDescent="0.25">
      <c r="A83" t="s">
        <v>404</v>
      </c>
      <c r="B83" s="2">
        <v>45080</v>
      </c>
      <c r="C83" t="s">
        <v>35</v>
      </c>
      <c r="D83" t="s">
        <v>16</v>
      </c>
      <c r="E83" t="s">
        <v>17</v>
      </c>
      <c r="F83" t="s">
        <v>48</v>
      </c>
      <c r="G83" t="s">
        <v>59</v>
      </c>
      <c r="H83" t="s">
        <v>60</v>
      </c>
      <c r="I83" s="5">
        <v>2767.89</v>
      </c>
      <c r="J83" s="8">
        <v>3</v>
      </c>
      <c r="K83" s="5">
        <v>1336.74</v>
      </c>
      <c r="L83" t="s">
        <v>29</v>
      </c>
      <c r="M83">
        <v>2023</v>
      </c>
      <c r="N83">
        <f t="shared" si="1"/>
        <v>6</v>
      </c>
    </row>
    <row r="84" spans="1:14" x14ac:dyDescent="0.25">
      <c r="A84" t="s">
        <v>449</v>
      </c>
      <c r="B84" s="2">
        <v>45080</v>
      </c>
      <c r="C84" t="s">
        <v>31</v>
      </c>
      <c r="D84" t="s">
        <v>24</v>
      </c>
      <c r="E84" t="s">
        <v>377</v>
      </c>
      <c r="F84" t="s">
        <v>26</v>
      </c>
      <c r="G84" t="s">
        <v>98</v>
      </c>
      <c r="H84" t="s">
        <v>176</v>
      </c>
      <c r="I84" s="5">
        <v>1207.8900000000001</v>
      </c>
      <c r="J84" s="8">
        <v>3</v>
      </c>
      <c r="K84" s="5">
        <v>502.38</v>
      </c>
      <c r="L84" t="s">
        <v>38</v>
      </c>
      <c r="M84">
        <v>2023</v>
      </c>
      <c r="N84">
        <f t="shared" si="1"/>
        <v>6</v>
      </c>
    </row>
    <row r="85" spans="1:14" x14ac:dyDescent="0.25">
      <c r="A85" t="s">
        <v>632</v>
      </c>
      <c r="B85" s="2">
        <v>45082</v>
      </c>
      <c r="C85" t="s">
        <v>57</v>
      </c>
      <c r="D85" t="s">
        <v>16</v>
      </c>
      <c r="E85" t="s">
        <v>71</v>
      </c>
      <c r="F85" t="s">
        <v>26</v>
      </c>
      <c r="G85" t="s">
        <v>81</v>
      </c>
      <c r="H85" t="s">
        <v>82</v>
      </c>
      <c r="I85" s="5">
        <v>4356.29</v>
      </c>
      <c r="J85" s="8">
        <v>8</v>
      </c>
      <c r="K85" s="5">
        <v>1133.22</v>
      </c>
      <c r="L85" t="s">
        <v>38</v>
      </c>
      <c r="M85">
        <v>2023</v>
      </c>
      <c r="N85">
        <f t="shared" si="1"/>
        <v>6</v>
      </c>
    </row>
    <row r="86" spans="1:14" x14ac:dyDescent="0.25">
      <c r="A86" t="s">
        <v>482</v>
      </c>
      <c r="B86" s="2">
        <v>45083</v>
      </c>
      <c r="C86" t="s">
        <v>160</v>
      </c>
      <c r="D86" t="s">
        <v>41</v>
      </c>
      <c r="E86" t="s">
        <v>42</v>
      </c>
      <c r="F86" t="s">
        <v>48</v>
      </c>
      <c r="G86" t="s">
        <v>59</v>
      </c>
      <c r="H86" t="s">
        <v>142</v>
      </c>
      <c r="I86" s="5">
        <v>462.44</v>
      </c>
      <c r="J86" s="8">
        <v>5</v>
      </c>
      <c r="K86" s="5">
        <v>170.94</v>
      </c>
      <c r="L86" t="s">
        <v>21</v>
      </c>
      <c r="M86">
        <v>2023</v>
      </c>
      <c r="N86">
        <f t="shared" si="1"/>
        <v>6</v>
      </c>
    </row>
    <row r="87" spans="1:14" x14ac:dyDescent="0.25">
      <c r="A87" t="s">
        <v>687</v>
      </c>
      <c r="B87" s="2">
        <v>45083</v>
      </c>
      <c r="C87" t="s">
        <v>120</v>
      </c>
      <c r="D87" t="s">
        <v>125</v>
      </c>
      <c r="E87" t="s">
        <v>141</v>
      </c>
      <c r="F87" t="s">
        <v>18</v>
      </c>
      <c r="G87" t="s">
        <v>43</v>
      </c>
      <c r="H87" t="s">
        <v>76</v>
      </c>
      <c r="I87" s="5">
        <v>1371.06</v>
      </c>
      <c r="J87" s="8">
        <v>8</v>
      </c>
      <c r="K87" s="5">
        <v>418.44</v>
      </c>
      <c r="L87" t="s">
        <v>21</v>
      </c>
      <c r="M87">
        <v>2023</v>
      </c>
      <c r="N87">
        <f t="shared" si="1"/>
        <v>6</v>
      </c>
    </row>
    <row r="88" spans="1:14" x14ac:dyDescent="0.25">
      <c r="A88" t="s">
        <v>701</v>
      </c>
      <c r="B88" s="2">
        <v>45083</v>
      </c>
      <c r="C88" t="s">
        <v>62</v>
      </c>
      <c r="D88" t="s">
        <v>41</v>
      </c>
      <c r="E88" t="s">
        <v>58</v>
      </c>
      <c r="F88" t="s">
        <v>48</v>
      </c>
      <c r="G88" t="s">
        <v>59</v>
      </c>
      <c r="H88" t="s">
        <v>60</v>
      </c>
      <c r="I88" s="5">
        <v>1245.44</v>
      </c>
      <c r="J88" s="8">
        <v>2</v>
      </c>
      <c r="K88" s="5">
        <v>434.08</v>
      </c>
      <c r="L88" t="s">
        <v>29</v>
      </c>
      <c r="M88">
        <v>2023</v>
      </c>
      <c r="N88">
        <f t="shared" si="1"/>
        <v>6</v>
      </c>
    </row>
    <row r="89" spans="1:14" x14ac:dyDescent="0.25">
      <c r="A89" t="s">
        <v>554</v>
      </c>
      <c r="B89" s="2">
        <v>45085</v>
      </c>
      <c r="C89" t="s">
        <v>62</v>
      </c>
      <c r="D89" t="s">
        <v>125</v>
      </c>
      <c r="E89" t="s">
        <v>126</v>
      </c>
      <c r="F89" t="s">
        <v>48</v>
      </c>
      <c r="G89" t="s">
        <v>151</v>
      </c>
      <c r="H89" t="s">
        <v>152</v>
      </c>
      <c r="I89" s="5">
        <v>961.93</v>
      </c>
      <c r="J89" s="8">
        <v>4</v>
      </c>
      <c r="K89" s="5">
        <v>259.19</v>
      </c>
      <c r="L89" t="s">
        <v>21</v>
      </c>
      <c r="M89">
        <v>2023</v>
      </c>
      <c r="N89">
        <f t="shared" si="1"/>
        <v>6</v>
      </c>
    </row>
    <row r="90" spans="1:14" x14ac:dyDescent="0.25">
      <c r="A90" t="s">
        <v>609</v>
      </c>
      <c r="B90" s="2">
        <v>45086</v>
      </c>
      <c r="C90" t="s">
        <v>62</v>
      </c>
      <c r="D90" t="s">
        <v>52</v>
      </c>
      <c r="E90" t="s">
        <v>144</v>
      </c>
      <c r="F90" t="s">
        <v>48</v>
      </c>
      <c r="G90" t="s">
        <v>68</v>
      </c>
      <c r="H90" t="s">
        <v>69</v>
      </c>
      <c r="I90" s="5">
        <v>2495</v>
      </c>
      <c r="J90" s="8">
        <v>3</v>
      </c>
      <c r="K90" s="5">
        <v>1201.04</v>
      </c>
      <c r="L90" t="s">
        <v>29</v>
      </c>
      <c r="M90">
        <v>2023</v>
      </c>
      <c r="N90">
        <f t="shared" si="1"/>
        <v>6</v>
      </c>
    </row>
    <row r="91" spans="1:14" x14ac:dyDescent="0.25">
      <c r="A91" t="s">
        <v>270</v>
      </c>
      <c r="B91" s="2">
        <v>45088</v>
      </c>
      <c r="C91" t="s">
        <v>92</v>
      </c>
      <c r="D91" t="s">
        <v>66</v>
      </c>
      <c r="E91" t="s">
        <v>271</v>
      </c>
      <c r="F91" t="s">
        <v>18</v>
      </c>
      <c r="G91" t="s">
        <v>54</v>
      </c>
      <c r="H91" t="s">
        <v>55</v>
      </c>
      <c r="I91" s="5">
        <v>1707.27</v>
      </c>
      <c r="J91" s="8">
        <v>5</v>
      </c>
      <c r="K91" s="5">
        <v>760.84</v>
      </c>
      <c r="L91" t="s">
        <v>21</v>
      </c>
      <c r="M91">
        <v>2023</v>
      </c>
      <c r="N91">
        <f t="shared" si="1"/>
        <v>6</v>
      </c>
    </row>
    <row r="92" spans="1:14" x14ac:dyDescent="0.25">
      <c r="A92" t="s">
        <v>450</v>
      </c>
      <c r="B92" s="2">
        <v>45088</v>
      </c>
      <c r="C92" t="s">
        <v>65</v>
      </c>
      <c r="D92" t="s">
        <v>74</v>
      </c>
      <c r="E92" t="s">
        <v>75</v>
      </c>
      <c r="F92" t="s">
        <v>18</v>
      </c>
      <c r="G92" t="s">
        <v>32</v>
      </c>
      <c r="H92" t="s">
        <v>33</v>
      </c>
      <c r="I92" s="5">
        <v>1775.71</v>
      </c>
      <c r="J92" s="8">
        <v>4</v>
      </c>
      <c r="K92" s="5">
        <v>832.03</v>
      </c>
      <c r="L92" t="s">
        <v>38</v>
      </c>
      <c r="M92">
        <v>2023</v>
      </c>
      <c r="N92">
        <f t="shared" si="1"/>
        <v>6</v>
      </c>
    </row>
    <row r="93" spans="1:14" x14ac:dyDescent="0.25">
      <c r="A93" t="s">
        <v>249</v>
      </c>
      <c r="B93" s="2">
        <v>45089</v>
      </c>
      <c r="C93" t="s">
        <v>57</v>
      </c>
      <c r="D93" t="s">
        <v>79</v>
      </c>
      <c r="E93" t="s">
        <v>149</v>
      </c>
      <c r="F93" t="s">
        <v>26</v>
      </c>
      <c r="G93" t="s">
        <v>98</v>
      </c>
      <c r="H93" t="s">
        <v>176</v>
      </c>
      <c r="I93" s="5">
        <v>17.25</v>
      </c>
      <c r="J93" s="8">
        <v>1</v>
      </c>
      <c r="K93" s="5">
        <v>8.9</v>
      </c>
      <c r="L93" t="s">
        <v>21</v>
      </c>
      <c r="M93">
        <v>2023</v>
      </c>
      <c r="N93">
        <f t="shared" si="1"/>
        <v>6</v>
      </c>
    </row>
    <row r="94" spans="1:14" x14ac:dyDescent="0.25">
      <c r="A94" t="s">
        <v>675</v>
      </c>
      <c r="B94" s="2">
        <v>45098</v>
      </c>
      <c r="C94" t="s">
        <v>65</v>
      </c>
      <c r="D94" t="s">
        <v>41</v>
      </c>
      <c r="E94" t="s">
        <v>58</v>
      </c>
      <c r="F94" t="s">
        <v>26</v>
      </c>
      <c r="G94" t="s">
        <v>81</v>
      </c>
      <c r="H94" t="s">
        <v>112</v>
      </c>
      <c r="I94" s="5">
        <v>221.22</v>
      </c>
      <c r="J94" s="8">
        <v>1</v>
      </c>
      <c r="K94" s="5">
        <v>118.45</v>
      </c>
      <c r="L94" t="s">
        <v>29</v>
      </c>
      <c r="M94">
        <v>2023</v>
      </c>
      <c r="N94">
        <f t="shared" si="1"/>
        <v>6</v>
      </c>
    </row>
    <row r="95" spans="1:14" x14ac:dyDescent="0.25">
      <c r="A95" t="s">
        <v>388</v>
      </c>
      <c r="B95" s="2">
        <v>45099</v>
      </c>
      <c r="C95" t="s">
        <v>78</v>
      </c>
      <c r="D95" t="s">
        <v>24</v>
      </c>
      <c r="E95" t="s">
        <v>25</v>
      </c>
      <c r="F95" t="s">
        <v>26</v>
      </c>
      <c r="G95" t="s">
        <v>27</v>
      </c>
      <c r="H95" t="s">
        <v>162</v>
      </c>
      <c r="I95" s="5">
        <v>3924.86</v>
      </c>
      <c r="J95" s="8">
        <v>6</v>
      </c>
      <c r="K95" s="5">
        <v>972.12</v>
      </c>
      <c r="L95" t="s">
        <v>29</v>
      </c>
      <c r="M95">
        <v>2023</v>
      </c>
      <c r="N95">
        <f t="shared" si="1"/>
        <v>6</v>
      </c>
    </row>
    <row r="96" spans="1:14" x14ac:dyDescent="0.25">
      <c r="A96" t="s">
        <v>166</v>
      </c>
      <c r="B96" s="2">
        <v>45104</v>
      </c>
      <c r="C96" t="s">
        <v>65</v>
      </c>
      <c r="D96" t="s">
        <v>79</v>
      </c>
      <c r="E96" t="s">
        <v>138</v>
      </c>
      <c r="F96" t="s">
        <v>18</v>
      </c>
      <c r="G96" t="s">
        <v>19</v>
      </c>
      <c r="H96" t="s">
        <v>72</v>
      </c>
      <c r="I96" s="5">
        <v>856.32</v>
      </c>
      <c r="J96" s="8">
        <v>4</v>
      </c>
      <c r="K96" s="5">
        <v>343.03</v>
      </c>
      <c r="L96" t="s">
        <v>21</v>
      </c>
      <c r="M96">
        <v>2023</v>
      </c>
      <c r="N96">
        <f t="shared" si="1"/>
        <v>6</v>
      </c>
    </row>
    <row r="97" spans="1:14" x14ac:dyDescent="0.25">
      <c r="A97" t="s">
        <v>648</v>
      </c>
      <c r="B97" s="2">
        <v>45107</v>
      </c>
      <c r="C97" t="s">
        <v>111</v>
      </c>
      <c r="D97" t="s">
        <v>52</v>
      </c>
      <c r="E97" t="s">
        <v>107</v>
      </c>
      <c r="F97" t="s">
        <v>26</v>
      </c>
      <c r="G97" t="s">
        <v>89</v>
      </c>
      <c r="H97" t="s">
        <v>90</v>
      </c>
      <c r="I97" s="5">
        <v>4484.4799999999996</v>
      </c>
      <c r="J97" s="8">
        <v>8</v>
      </c>
      <c r="K97" s="5">
        <v>827.7</v>
      </c>
      <c r="L97" t="s">
        <v>21</v>
      </c>
      <c r="M97">
        <v>2023</v>
      </c>
      <c r="N97">
        <f t="shared" si="1"/>
        <v>7</v>
      </c>
    </row>
    <row r="98" spans="1:14" x14ac:dyDescent="0.25">
      <c r="A98" t="s">
        <v>429</v>
      </c>
      <c r="B98" s="2">
        <v>45109</v>
      </c>
      <c r="C98" t="s">
        <v>111</v>
      </c>
      <c r="D98" t="s">
        <v>16</v>
      </c>
      <c r="E98" t="s">
        <v>190</v>
      </c>
      <c r="F98" t="s">
        <v>26</v>
      </c>
      <c r="G98" t="s">
        <v>81</v>
      </c>
      <c r="H98" t="s">
        <v>112</v>
      </c>
      <c r="I98" s="5">
        <v>1052.93</v>
      </c>
      <c r="J98" s="8">
        <v>6</v>
      </c>
      <c r="K98" s="5">
        <v>445.67</v>
      </c>
      <c r="L98" t="s">
        <v>21</v>
      </c>
      <c r="M98">
        <v>2023</v>
      </c>
      <c r="N98">
        <f t="shared" si="1"/>
        <v>7</v>
      </c>
    </row>
    <row r="99" spans="1:14" x14ac:dyDescent="0.25">
      <c r="A99" t="s">
        <v>205</v>
      </c>
      <c r="B99" s="2">
        <v>45111</v>
      </c>
      <c r="C99" t="s">
        <v>31</v>
      </c>
      <c r="D99" t="s">
        <v>24</v>
      </c>
      <c r="E99" t="s">
        <v>103</v>
      </c>
      <c r="F99" t="s">
        <v>48</v>
      </c>
      <c r="G99" t="s">
        <v>151</v>
      </c>
      <c r="H99" t="s">
        <v>152</v>
      </c>
      <c r="I99" s="5">
        <v>1457.83</v>
      </c>
      <c r="J99" s="8">
        <v>3</v>
      </c>
      <c r="K99" s="5">
        <v>670.2</v>
      </c>
      <c r="L99" t="s">
        <v>21</v>
      </c>
      <c r="M99">
        <v>2023</v>
      </c>
      <c r="N99">
        <f t="shared" si="1"/>
        <v>7</v>
      </c>
    </row>
    <row r="100" spans="1:14" x14ac:dyDescent="0.25">
      <c r="A100" t="s">
        <v>719</v>
      </c>
      <c r="B100" s="2">
        <v>45111</v>
      </c>
      <c r="C100" t="s">
        <v>133</v>
      </c>
      <c r="D100" t="s">
        <v>41</v>
      </c>
      <c r="E100" t="s">
        <v>58</v>
      </c>
      <c r="F100" t="s">
        <v>18</v>
      </c>
      <c r="G100" t="s">
        <v>43</v>
      </c>
      <c r="H100" t="s">
        <v>76</v>
      </c>
      <c r="I100" s="5">
        <v>2100.2600000000002</v>
      </c>
      <c r="J100" s="8">
        <v>8</v>
      </c>
      <c r="K100" s="5">
        <v>432.75</v>
      </c>
      <c r="L100" t="s">
        <v>21</v>
      </c>
      <c r="M100">
        <v>2023</v>
      </c>
      <c r="N100">
        <f t="shared" si="1"/>
        <v>7</v>
      </c>
    </row>
    <row r="101" spans="1:14" x14ac:dyDescent="0.25">
      <c r="A101" t="s">
        <v>408</v>
      </c>
      <c r="B101" s="2">
        <v>45113</v>
      </c>
      <c r="C101" t="s">
        <v>124</v>
      </c>
      <c r="D101" t="s">
        <v>16</v>
      </c>
      <c r="E101" t="s">
        <v>190</v>
      </c>
      <c r="F101" t="s">
        <v>48</v>
      </c>
      <c r="G101" t="s">
        <v>94</v>
      </c>
      <c r="H101" t="s">
        <v>104</v>
      </c>
      <c r="I101" s="5">
        <v>872.05</v>
      </c>
      <c r="J101" s="8">
        <v>5</v>
      </c>
      <c r="K101" s="5">
        <v>265</v>
      </c>
      <c r="L101" t="s">
        <v>29</v>
      </c>
      <c r="M101">
        <v>2023</v>
      </c>
      <c r="N101">
        <f t="shared" si="1"/>
        <v>7</v>
      </c>
    </row>
    <row r="102" spans="1:14" x14ac:dyDescent="0.25">
      <c r="A102" t="s">
        <v>581</v>
      </c>
      <c r="B102" s="2">
        <v>45113</v>
      </c>
      <c r="C102" t="s">
        <v>65</v>
      </c>
      <c r="D102" t="s">
        <v>79</v>
      </c>
      <c r="E102" t="s">
        <v>80</v>
      </c>
      <c r="F102" t="s">
        <v>48</v>
      </c>
      <c r="G102" t="s">
        <v>49</v>
      </c>
      <c r="H102" t="s">
        <v>50</v>
      </c>
      <c r="I102" s="5">
        <v>174.05</v>
      </c>
      <c r="J102" s="8">
        <v>2</v>
      </c>
      <c r="K102" s="5">
        <v>94.54</v>
      </c>
      <c r="L102" t="s">
        <v>21</v>
      </c>
      <c r="M102">
        <v>2023</v>
      </c>
      <c r="N102">
        <f t="shared" si="1"/>
        <v>7</v>
      </c>
    </row>
    <row r="103" spans="1:14" x14ac:dyDescent="0.25">
      <c r="A103" t="s">
        <v>276</v>
      </c>
      <c r="B103" s="2">
        <v>45125</v>
      </c>
      <c r="C103" t="s">
        <v>137</v>
      </c>
      <c r="D103" t="s">
        <v>79</v>
      </c>
      <c r="E103" t="s">
        <v>80</v>
      </c>
      <c r="F103" t="s">
        <v>48</v>
      </c>
      <c r="G103" t="s">
        <v>94</v>
      </c>
      <c r="H103" t="s">
        <v>95</v>
      </c>
      <c r="I103" s="5">
        <v>1458.92</v>
      </c>
      <c r="J103" s="8">
        <v>3</v>
      </c>
      <c r="K103" s="5">
        <v>395.1</v>
      </c>
      <c r="L103" t="s">
        <v>21</v>
      </c>
      <c r="M103">
        <v>2023</v>
      </c>
      <c r="N103">
        <f t="shared" si="1"/>
        <v>7</v>
      </c>
    </row>
    <row r="104" spans="1:14" x14ac:dyDescent="0.25">
      <c r="A104" t="s">
        <v>417</v>
      </c>
      <c r="B104" s="2">
        <v>45128</v>
      </c>
      <c r="C104" t="s">
        <v>120</v>
      </c>
      <c r="D104" t="s">
        <v>24</v>
      </c>
      <c r="E104" t="s">
        <v>103</v>
      </c>
      <c r="F104" t="s">
        <v>48</v>
      </c>
      <c r="G104" t="s">
        <v>49</v>
      </c>
      <c r="H104" t="s">
        <v>158</v>
      </c>
      <c r="I104" s="5">
        <v>2329.06</v>
      </c>
      <c r="J104" s="8">
        <v>8</v>
      </c>
      <c r="K104" s="5">
        <v>596.73</v>
      </c>
      <c r="L104" t="s">
        <v>21</v>
      </c>
      <c r="M104">
        <v>2023</v>
      </c>
      <c r="N104">
        <f t="shared" si="1"/>
        <v>7</v>
      </c>
    </row>
    <row r="105" spans="1:14" x14ac:dyDescent="0.25">
      <c r="A105" t="s">
        <v>518</v>
      </c>
      <c r="B105" s="2">
        <v>45129</v>
      </c>
      <c r="C105" t="s">
        <v>198</v>
      </c>
      <c r="D105" t="s">
        <v>79</v>
      </c>
      <c r="E105" t="s">
        <v>138</v>
      </c>
      <c r="F105" t="s">
        <v>48</v>
      </c>
      <c r="G105" t="s">
        <v>68</v>
      </c>
      <c r="H105" t="s">
        <v>69</v>
      </c>
      <c r="I105" s="5">
        <v>3934.98</v>
      </c>
      <c r="J105" s="8">
        <v>7</v>
      </c>
      <c r="K105" s="5">
        <v>1901.33</v>
      </c>
      <c r="L105" t="s">
        <v>21</v>
      </c>
      <c r="M105">
        <v>2023</v>
      </c>
      <c r="N105">
        <f t="shared" si="1"/>
        <v>7</v>
      </c>
    </row>
    <row r="106" spans="1:14" x14ac:dyDescent="0.25">
      <c r="A106" t="s">
        <v>646</v>
      </c>
      <c r="B106" s="2">
        <v>45131</v>
      </c>
      <c r="C106" t="s">
        <v>124</v>
      </c>
      <c r="D106" t="s">
        <v>74</v>
      </c>
      <c r="E106" t="s">
        <v>75</v>
      </c>
      <c r="F106" t="s">
        <v>48</v>
      </c>
      <c r="G106" t="s">
        <v>59</v>
      </c>
      <c r="H106" t="s">
        <v>142</v>
      </c>
      <c r="I106" s="5">
        <v>1065.0999999999999</v>
      </c>
      <c r="J106" s="8">
        <v>3</v>
      </c>
      <c r="K106" s="5">
        <v>207.17</v>
      </c>
      <c r="L106" t="s">
        <v>29</v>
      </c>
      <c r="M106">
        <v>2023</v>
      </c>
      <c r="N106">
        <f t="shared" si="1"/>
        <v>7</v>
      </c>
    </row>
    <row r="107" spans="1:14" x14ac:dyDescent="0.25">
      <c r="A107" t="s">
        <v>365</v>
      </c>
      <c r="B107" s="2">
        <v>45132</v>
      </c>
      <c r="C107" t="s">
        <v>114</v>
      </c>
      <c r="D107" t="s">
        <v>52</v>
      </c>
      <c r="E107" t="s">
        <v>144</v>
      </c>
      <c r="F107" t="s">
        <v>18</v>
      </c>
      <c r="G107" t="s">
        <v>32</v>
      </c>
      <c r="H107" t="s">
        <v>147</v>
      </c>
      <c r="I107" s="5">
        <v>414.76</v>
      </c>
      <c r="J107" s="8">
        <v>2</v>
      </c>
      <c r="K107" s="5">
        <v>171.5</v>
      </c>
      <c r="L107" t="s">
        <v>21</v>
      </c>
      <c r="M107">
        <v>2023</v>
      </c>
      <c r="N107">
        <f t="shared" si="1"/>
        <v>7</v>
      </c>
    </row>
    <row r="108" spans="1:14" x14ac:dyDescent="0.25">
      <c r="A108" t="s">
        <v>363</v>
      </c>
      <c r="B108" s="2">
        <v>45136</v>
      </c>
      <c r="C108" t="s">
        <v>31</v>
      </c>
      <c r="D108" t="s">
        <v>66</v>
      </c>
      <c r="E108" t="s">
        <v>271</v>
      </c>
      <c r="F108" t="s">
        <v>26</v>
      </c>
      <c r="G108" t="s">
        <v>27</v>
      </c>
      <c r="H108" t="s">
        <v>162</v>
      </c>
      <c r="I108" s="5">
        <v>166.48</v>
      </c>
      <c r="J108" s="8">
        <v>2</v>
      </c>
      <c r="K108" s="5">
        <v>80.2</v>
      </c>
      <c r="L108" t="s">
        <v>21</v>
      </c>
      <c r="M108">
        <v>2023</v>
      </c>
      <c r="N108">
        <f t="shared" si="1"/>
        <v>7</v>
      </c>
    </row>
    <row r="109" spans="1:14" x14ac:dyDescent="0.25">
      <c r="A109" t="s">
        <v>258</v>
      </c>
      <c r="B109" s="2">
        <v>45137</v>
      </c>
      <c r="C109" t="s">
        <v>31</v>
      </c>
      <c r="D109" t="s">
        <v>16</v>
      </c>
      <c r="E109" t="s">
        <v>190</v>
      </c>
      <c r="F109" t="s">
        <v>18</v>
      </c>
      <c r="G109" t="s">
        <v>54</v>
      </c>
      <c r="H109" t="s">
        <v>55</v>
      </c>
      <c r="I109" s="5">
        <v>4701.93</v>
      </c>
      <c r="J109" s="8">
        <v>6</v>
      </c>
      <c r="K109" s="5">
        <v>1192.6400000000001</v>
      </c>
      <c r="L109" t="s">
        <v>21</v>
      </c>
      <c r="M109">
        <v>2023</v>
      </c>
      <c r="N109">
        <f t="shared" si="1"/>
        <v>7</v>
      </c>
    </row>
    <row r="110" spans="1:14" x14ac:dyDescent="0.25">
      <c r="A110" t="s">
        <v>435</v>
      </c>
      <c r="B110" s="2">
        <v>45137</v>
      </c>
      <c r="C110" t="s">
        <v>84</v>
      </c>
      <c r="D110" t="s">
        <v>125</v>
      </c>
      <c r="E110" t="s">
        <v>146</v>
      </c>
      <c r="F110" t="s">
        <v>18</v>
      </c>
      <c r="G110" t="s">
        <v>19</v>
      </c>
      <c r="H110" t="s">
        <v>72</v>
      </c>
      <c r="I110" s="5">
        <v>66.8</v>
      </c>
      <c r="J110" s="8">
        <v>3</v>
      </c>
      <c r="K110" s="5">
        <v>32.97</v>
      </c>
      <c r="L110" t="s">
        <v>38</v>
      </c>
      <c r="M110">
        <v>2023</v>
      </c>
      <c r="N110">
        <f t="shared" si="1"/>
        <v>8</v>
      </c>
    </row>
    <row r="111" spans="1:14" x14ac:dyDescent="0.25">
      <c r="A111" t="s">
        <v>440</v>
      </c>
      <c r="B111" s="2">
        <v>45144</v>
      </c>
      <c r="C111" t="s">
        <v>92</v>
      </c>
      <c r="D111" t="s">
        <v>52</v>
      </c>
      <c r="E111" t="s">
        <v>107</v>
      </c>
      <c r="F111" t="s">
        <v>18</v>
      </c>
      <c r="G111" t="s">
        <v>43</v>
      </c>
      <c r="H111" t="s">
        <v>76</v>
      </c>
      <c r="I111" s="5">
        <v>250.86</v>
      </c>
      <c r="J111" s="8">
        <v>2</v>
      </c>
      <c r="K111" s="5">
        <v>107.14</v>
      </c>
      <c r="L111" t="s">
        <v>38</v>
      </c>
      <c r="M111">
        <v>2023</v>
      </c>
      <c r="N111">
        <f t="shared" si="1"/>
        <v>8</v>
      </c>
    </row>
    <row r="112" spans="1:14" x14ac:dyDescent="0.25">
      <c r="A112" t="s">
        <v>454</v>
      </c>
      <c r="B112" s="2">
        <v>45146</v>
      </c>
      <c r="C112" t="s">
        <v>133</v>
      </c>
      <c r="D112" t="s">
        <v>16</v>
      </c>
      <c r="E112" t="s">
        <v>17</v>
      </c>
      <c r="F112" t="s">
        <v>26</v>
      </c>
      <c r="G112" t="s">
        <v>98</v>
      </c>
      <c r="H112" t="s">
        <v>99</v>
      </c>
      <c r="I112" s="5">
        <v>3367.49</v>
      </c>
      <c r="J112" s="8">
        <v>7</v>
      </c>
      <c r="K112" s="5">
        <v>1465.95</v>
      </c>
      <c r="L112" t="s">
        <v>21</v>
      </c>
      <c r="M112">
        <v>2023</v>
      </c>
      <c r="N112">
        <f t="shared" si="1"/>
        <v>8</v>
      </c>
    </row>
    <row r="113" spans="1:14" x14ac:dyDescent="0.25">
      <c r="A113" t="s">
        <v>425</v>
      </c>
      <c r="B113" s="2">
        <v>45148</v>
      </c>
      <c r="C113" t="s">
        <v>35</v>
      </c>
      <c r="D113" t="s">
        <v>41</v>
      </c>
      <c r="E113" t="s">
        <v>42</v>
      </c>
      <c r="F113" t="s">
        <v>26</v>
      </c>
      <c r="G113" t="s">
        <v>81</v>
      </c>
      <c r="H113" t="s">
        <v>82</v>
      </c>
      <c r="I113" s="5">
        <v>3225.96</v>
      </c>
      <c r="J113" s="8">
        <v>5</v>
      </c>
      <c r="K113" s="5">
        <v>1193.76</v>
      </c>
      <c r="L113" t="s">
        <v>38</v>
      </c>
      <c r="M113">
        <v>2023</v>
      </c>
      <c r="N113">
        <f t="shared" si="1"/>
        <v>8</v>
      </c>
    </row>
    <row r="114" spans="1:14" x14ac:dyDescent="0.25">
      <c r="A114" t="s">
        <v>346</v>
      </c>
      <c r="B114" s="2">
        <v>45160</v>
      </c>
      <c r="C114" t="s">
        <v>62</v>
      </c>
      <c r="D114" t="s">
        <v>74</v>
      </c>
      <c r="E114" t="s">
        <v>75</v>
      </c>
      <c r="F114" t="s">
        <v>48</v>
      </c>
      <c r="G114" t="s">
        <v>49</v>
      </c>
      <c r="H114" t="s">
        <v>50</v>
      </c>
      <c r="I114" s="5">
        <v>4523.22</v>
      </c>
      <c r="J114" s="8">
        <v>8</v>
      </c>
      <c r="K114" s="5">
        <v>2241.63</v>
      </c>
      <c r="L114" t="s">
        <v>21</v>
      </c>
      <c r="M114">
        <v>2023</v>
      </c>
      <c r="N114">
        <f t="shared" si="1"/>
        <v>8</v>
      </c>
    </row>
    <row r="115" spans="1:14" x14ac:dyDescent="0.25">
      <c r="A115" t="s">
        <v>181</v>
      </c>
      <c r="B115" s="2">
        <v>45162</v>
      </c>
      <c r="C115" t="s">
        <v>40</v>
      </c>
      <c r="D115" t="s">
        <v>16</v>
      </c>
      <c r="E115" t="s">
        <v>71</v>
      </c>
      <c r="F115" t="s">
        <v>26</v>
      </c>
      <c r="G115" t="s">
        <v>81</v>
      </c>
      <c r="H115" t="s">
        <v>112</v>
      </c>
      <c r="I115" s="5">
        <v>1093.01</v>
      </c>
      <c r="J115" s="8">
        <v>7</v>
      </c>
      <c r="K115" s="5">
        <v>254.02</v>
      </c>
      <c r="L115" t="s">
        <v>29</v>
      </c>
      <c r="M115">
        <v>2023</v>
      </c>
      <c r="N115">
        <f t="shared" si="1"/>
        <v>8</v>
      </c>
    </row>
    <row r="116" spans="1:14" x14ac:dyDescent="0.25">
      <c r="A116" t="s">
        <v>127</v>
      </c>
      <c r="B116" s="2">
        <v>45163</v>
      </c>
      <c r="C116" t="s">
        <v>46</v>
      </c>
      <c r="D116" t="s">
        <v>36</v>
      </c>
      <c r="E116" t="s">
        <v>128</v>
      </c>
      <c r="F116" t="s">
        <v>18</v>
      </c>
      <c r="G116" t="s">
        <v>32</v>
      </c>
      <c r="H116" t="s">
        <v>33</v>
      </c>
      <c r="I116" s="5">
        <v>431.38</v>
      </c>
      <c r="J116" s="8">
        <v>1</v>
      </c>
      <c r="K116" s="5">
        <v>227.11</v>
      </c>
      <c r="L116" t="s">
        <v>21</v>
      </c>
      <c r="M116">
        <v>2023</v>
      </c>
      <c r="N116">
        <f t="shared" si="1"/>
        <v>8</v>
      </c>
    </row>
    <row r="117" spans="1:14" x14ac:dyDescent="0.25">
      <c r="A117" t="s">
        <v>209</v>
      </c>
      <c r="B117" s="2">
        <v>45165</v>
      </c>
      <c r="C117" t="s">
        <v>198</v>
      </c>
      <c r="D117" t="s">
        <v>16</v>
      </c>
      <c r="E117" t="s">
        <v>71</v>
      </c>
      <c r="F117" t="s">
        <v>48</v>
      </c>
      <c r="G117" t="s">
        <v>130</v>
      </c>
      <c r="H117" t="s">
        <v>131</v>
      </c>
      <c r="I117" s="5">
        <v>5178.92</v>
      </c>
      <c r="J117" s="8">
        <v>7</v>
      </c>
      <c r="K117" s="5">
        <v>1464.04</v>
      </c>
      <c r="L117" t="s">
        <v>21</v>
      </c>
      <c r="M117">
        <v>2023</v>
      </c>
      <c r="N117">
        <f t="shared" si="1"/>
        <v>8</v>
      </c>
    </row>
    <row r="118" spans="1:14" x14ac:dyDescent="0.25">
      <c r="A118" t="s">
        <v>305</v>
      </c>
      <c r="B118" s="2">
        <v>45169</v>
      </c>
      <c r="C118" t="s">
        <v>15</v>
      </c>
      <c r="D118" t="s">
        <v>79</v>
      </c>
      <c r="E118" t="s">
        <v>138</v>
      </c>
      <c r="F118" t="s">
        <v>48</v>
      </c>
      <c r="G118" t="s">
        <v>151</v>
      </c>
      <c r="H118" t="s">
        <v>174</v>
      </c>
      <c r="I118" s="5">
        <v>99.2</v>
      </c>
      <c r="J118" s="8">
        <v>6</v>
      </c>
      <c r="K118" s="5">
        <v>52.98</v>
      </c>
      <c r="L118" t="s">
        <v>21</v>
      </c>
      <c r="M118">
        <v>2023</v>
      </c>
      <c r="N118">
        <f t="shared" si="1"/>
        <v>9</v>
      </c>
    </row>
    <row r="119" spans="1:14" x14ac:dyDescent="0.25">
      <c r="A119" t="s">
        <v>697</v>
      </c>
      <c r="B119" s="2">
        <v>45171</v>
      </c>
      <c r="C119" t="s">
        <v>124</v>
      </c>
      <c r="D119" t="s">
        <v>79</v>
      </c>
      <c r="E119" t="s">
        <v>149</v>
      </c>
      <c r="F119" t="s">
        <v>26</v>
      </c>
      <c r="G119" t="s">
        <v>98</v>
      </c>
      <c r="H119" t="s">
        <v>176</v>
      </c>
      <c r="I119" s="5">
        <v>1084.26</v>
      </c>
      <c r="J119" s="8">
        <v>2</v>
      </c>
      <c r="K119" s="5">
        <v>552.57000000000005</v>
      </c>
      <c r="L119" t="s">
        <v>21</v>
      </c>
      <c r="M119">
        <v>2023</v>
      </c>
      <c r="N119">
        <f t="shared" si="1"/>
        <v>9</v>
      </c>
    </row>
    <row r="120" spans="1:14" x14ac:dyDescent="0.25">
      <c r="A120" t="s">
        <v>511</v>
      </c>
      <c r="B120" s="2">
        <v>45172</v>
      </c>
      <c r="C120" t="s">
        <v>62</v>
      </c>
      <c r="D120" t="s">
        <v>125</v>
      </c>
      <c r="E120" t="s">
        <v>146</v>
      </c>
      <c r="F120" t="s">
        <v>26</v>
      </c>
      <c r="G120" t="s">
        <v>81</v>
      </c>
      <c r="H120" t="s">
        <v>112</v>
      </c>
      <c r="I120" s="5">
        <v>1482.59</v>
      </c>
      <c r="J120" s="8">
        <v>2</v>
      </c>
      <c r="K120" s="5">
        <v>382.06</v>
      </c>
      <c r="L120" t="s">
        <v>21</v>
      </c>
      <c r="M120">
        <v>2023</v>
      </c>
      <c r="N120">
        <f t="shared" si="1"/>
        <v>9</v>
      </c>
    </row>
    <row r="121" spans="1:14" x14ac:dyDescent="0.25">
      <c r="A121" t="s">
        <v>85</v>
      </c>
      <c r="B121" s="2">
        <v>45174</v>
      </c>
      <c r="C121" t="s">
        <v>40</v>
      </c>
      <c r="D121" t="s">
        <v>86</v>
      </c>
      <c r="E121" t="s">
        <v>87</v>
      </c>
      <c r="F121" t="s">
        <v>18</v>
      </c>
      <c r="G121" t="s">
        <v>19</v>
      </c>
      <c r="H121" t="s">
        <v>72</v>
      </c>
      <c r="I121" s="5">
        <v>2005.66</v>
      </c>
      <c r="J121" s="8">
        <v>8</v>
      </c>
      <c r="K121" s="5">
        <v>931.77</v>
      </c>
      <c r="L121" t="s">
        <v>21</v>
      </c>
      <c r="M121">
        <v>2023</v>
      </c>
      <c r="N121">
        <f t="shared" si="1"/>
        <v>9</v>
      </c>
    </row>
    <row r="122" spans="1:14" x14ac:dyDescent="0.25">
      <c r="A122" t="s">
        <v>645</v>
      </c>
      <c r="B122" s="2">
        <v>45174</v>
      </c>
      <c r="C122" t="s">
        <v>120</v>
      </c>
      <c r="D122" t="s">
        <v>36</v>
      </c>
      <c r="E122" t="s">
        <v>47</v>
      </c>
      <c r="F122" t="s">
        <v>26</v>
      </c>
      <c r="G122" t="s">
        <v>27</v>
      </c>
      <c r="H122" t="s">
        <v>162</v>
      </c>
      <c r="I122" s="5">
        <v>603.19000000000005</v>
      </c>
      <c r="J122" s="8">
        <v>2</v>
      </c>
      <c r="K122" s="5">
        <v>274.24</v>
      </c>
      <c r="L122" t="s">
        <v>21</v>
      </c>
      <c r="M122">
        <v>2023</v>
      </c>
      <c r="N122">
        <f t="shared" si="1"/>
        <v>9</v>
      </c>
    </row>
    <row r="123" spans="1:14" x14ac:dyDescent="0.25">
      <c r="A123" t="s">
        <v>145</v>
      </c>
      <c r="B123" s="2">
        <v>45175</v>
      </c>
      <c r="C123" t="s">
        <v>120</v>
      </c>
      <c r="D123" t="s">
        <v>125</v>
      </c>
      <c r="E123" t="s">
        <v>146</v>
      </c>
      <c r="F123" t="s">
        <v>18</v>
      </c>
      <c r="G123" t="s">
        <v>32</v>
      </c>
      <c r="H123" t="s">
        <v>147</v>
      </c>
      <c r="I123" s="5">
        <v>1939</v>
      </c>
      <c r="J123" s="8">
        <v>4</v>
      </c>
      <c r="K123" s="5">
        <v>415.33</v>
      </c>
      <c r="L123" t="s">
        <v>38</v>
      </c>
      <c r="M123">
        <v>2023</v>
      </c>
      <c r="N123">
        <f t="shared" si="1"/>
        <v>9</v>
      </c>
    </row>
    <row r="124" spans="1:14" x14ac:dyDescent="0.25">
      <c r="A124" t="s">
        <v>289</v>
      </c>
      <c r="B124" s="2">
        <v>45176</v>
      </c>
      <c r="C124" t="s">
        <v>15</v>
      </c>
      <c r="D124" t="s">
        <v>36</v>
      </c>
      <c r="E124" t="s">
        <v>37</v>
      </c>
      <c r="F124" t="s">
        <v>48</v>
      </c>
      <c r="G124" t="s">
        <v>68</v>
      </c>
      <c r="H124" t="s">
        <v>202</v>
      </c>
      <c r="I124" s="5">
        <v>699.23</v>
      </c>
      <c r="J124" s="8">
        <v>5</v>
      </c>
      <c r="K124" s="5">
        <v>168.04</v>
      </c>
      <c r="L124" t="s">
        <v>29</v>
      </c>
      <c r="M124">
        <v>2023</v>
      </c>
      <c r="N124">
        <f t="shared" si="1"/>
        <v>9</v>
      </c>
    </row>
    <row r="125" spans="1:14" x14ac:dyDescent="0.25">
      <c r="A125" t="s">
        <v>631</v>
      </c>
      <c r="B125" s="2">
        <v>45176</v>
      </c>
      <c r="C125" t="s">
        <v>35</v>
      </c>
      <c r="D125" t="s">
        <v>24</v>
      </c>
      <c r="E125" t="s">
        <v>25</v>
      </c>
      <c r="F125" t="s">
        <v>18</v>
      </c>
      <c r="G125" t="s">
        <v>43</v>
      </c>
      <c r="H125" t="s">
        <v>44</v>
      </c>
      <c r="I125" s="5">
        <v>1042.2</v>
      </c>
      <c r="J125" s="8">
        <v>4</v>
      </c>
      <c r="K125" s="5">
        <v>237.35</v>
      </c>
      <c r="L125" t="s">
        <v>21</v>
      </c>
      <c r="M125">
        <v>2023</v>
      </c>
      <c r="N125">
        <f t="shared" si="1"/>
        <v>9</v>
      </c>
    </row>
    <row r="126" spans="1:14" x14ac:dyDescent="0.25">
      <c r="A126" t="s">
        <v>389</v>
      </c>
      <c r="B126" s="2">
        <v>45177</v>
      </c>
      <c r="C126" t="s">
        <v>65</v>
      </c>
      <c r="D126" t="s">
        <v>125</v>
      </c>
      <c r="E126" t="s">
        <v>141</v>
      </c>
      <c r="F126" t="s">
        <v>48</v>
      </c>
      <c r="G126" t="s">
        <v>59</v>
      </c>
      <c r="H126" t="s">
        <v>142</v>
      </c>
      <c r="I126" s="5">
        <v>1204.51</v>
      </c>
      <c r="J126" s="8">
        <v>6</v>
      </c>
      <c r="K126" s="5">
        <v>364.49</v>
      </c>
      <c r="L126" t="s">
        <v>21</v>
      </c>
      <c r="M126">
        <v>2023</v>
      </c>
      <c r="N126">
        <f t="shared" si="1"/>
        <v>9</v>
      </c>
    </row>
    <row r="127" spans="1:14" x14ac:dyDescent="0.25">
      <c r="A127" t="s">
        <v>698</v>
      </c>
      <c r="B127" s="2">
        <v>45178</v>
      </c>
      <c r="C127" t="s">
        <v>23</v>
      </c>
      <c r="D127" t="s">
        <v>16</v>
      </c>
      <c r="E127" t="s">
        <v>190</v>
      </c>
      <c r="F127" t="s">
        <v>26</v>
      </c>
      <c r="G127" t="s">
        <v>81</v>
      </c>
      <c r="H127" t="s">
        <v>112</v>
      </c>
      <c r="I127" s="5">
        <v>3476.37</v>
      </c>
      <c r="J127" s="8">
        <v>7</v>
      </c>
      <c r="K127" s="5">
        <v>1491.35</v>
      </c>
      <c r="L127" t="s">
        <v>21</v>
      </c>
      <c r="M127">
        <v>2023</v>
      </c>
      <c r="N127">
        <f t="shared" si="1"/>
        <v>9</v>
      </c>
    </row>
    <row r="128" spans="1:14" x14ac:dyDescent="0.25">
      <c r="A128" t="s">
        <v>476</v>
      </c>
      <c r="B128" s="2">
        <v>45179</v>
      </c>
      <c r="C128" t="s">
        <v>160</v>
      </c>
      <c r="D128" t="s">
        <v>66</v>
      </c>
      <c r="E128" t="s">
        <v>271</v>
      </c>
      <c r="F128" t="s">
        <v>18</v>
      </c>
      <c r="G128" t="s">
        <v>19</v>
      </c>
      <c r="H128" t="s">
        <v>20</v>
      </c>
      <c r="I128" s="5">
        <v>2013.36</v>
      </c>
      <c r="J128" s="8">
        <v>3</v>
      </c>
      <c r="K128" s="5">
        <v>498.4</v>
      </c>
      <c r="L128" t="s">
        <v>21</v>
      </c>
      <c r="M128">
        <v>2023</v>
      </c>
      <c r="N128">
        <f t="shared" si="1"/>
        <v>9</v>
      </c>
    </row>
    <row r="129" spans="1:14" x14ac:dyDescent="0.25">
      <c r="A129" t="s">
        <v>182</v>
      </c>
      <c r="B129" s="2">
        <v>45181</v>
      </c>
      <c r="C129" t="s">
        <v>137</v>
      </c>
      <c r="D129" t="s">
        <v>16</v>
      </c>
      <c r="E129" t="s">
        <v>17</v>
      </c>
      <c r="F129" t="s">
        <v>26</v>
      </c>
      <c r="G129" t="s">
        <v>81</v>
      </c>
      <c r="H129" t="s">
        <v>82</v>
      </c>
      <c r="I129" s="5">
        <v>2268.36</v>
      </c>
      <c r="J129" s="8">
        <v>8</v>
      </c>
      <c r="K129" s="5">
        <v>1233.68</v>
      </c>
      <c r="L129" t="s">
        <v>38</v>
      </c>
      <c r="M129">
        <v>2023</v>
      </c>
      <c r="N129">
        <f t="shared" si="1"/>
        <v>9</v>
      </c>
    </row>
    <row r="130" spans="1:14" x14ac:dyDescent="0.25">
      <c r="A130" t="s">
        <v>34</v>
      </c>
      <c r="B130" s="2">
        <v>45182</v>
      </c>
      <c r="C130" t="s">
        <v>35</v>
      </c>
      <c r="D130" t="s">
        <v>36</v>
      </c>
      <c r="E130" t="s">
        <v>37</v>
      </c>
      <c r="F130" t="s">
        <v>18</v>
      </c>
      <c r="G130" t="s">
        <v>19</v>
      </c>
      <c r="H130" t="s">
        <v>20</v>
      </c>
      <c r="I130" s="5">
        <v>2449.86</v>
      </c>
      <c r="J130" s="8">
        <v>8</v>
      </c>
      <c r="K130" s="5">
        <v>1328.76</v>
      </c>
      <c r="L130" t="s">
        <v>38</v>
      </c>
      <c r="M130">
        <v>2023</v>
      </c>
      <c r="N130">
        <f t="shared" ref="N130:N193" si="2">MONTH(B131)</f>
        <v>9</v>
      </c>
    </row>
    <row r="131" spans="1:14" x14ac:dyDescent="0.25">
      <c r="A131" t="s">
        <v>194</v>
      </c>
      <c r="B131" s="2">
        <v>45185</v>
      </c>
      <c r="C131" t="s">
        <v>78</v>
      </c>
      <c r="D131" t="s">
        <v>52</v>
      </c>
      <c r="E131" t="s">
        <v>144</v>
      </c>
      <c r="F131" t="s">
        <v>18</v>
      </c>
      <c r="G131" t="s">
        <v>54</v>
      </c>
      <c r="H131" t="s">
        <v>55</v>
      </c>
      <c r="I131" s="5">
        <v>389.05</v>
      </c>
      <c r="J131" s="8">
        <v>1</v>
      </c>
      <c r="K131" s="5">
        <v>121.56</v>
      </c>
      <c r="L131" t="s">
        <v>29</v>
      </c>
      <c r="M131">
        <v>2023</v>
      </c>
      <c r="N131">
        <f t="shared" si="2"/>
        <v>9</v>
      </c>
    </row>
    <row r="132" spans="1:14" x14ac:dyDescent="0.25">
      <c r="A132" t="s">
        <v>412</v>
      </c>
      <c r="B132" s="2">
        <v>45185</v>
      </c>
      <c r="C132" t="s">
        <v>23</v>
      </c>
      <c r="D132" t="s">
        <v>16</v>
      </c>
      <c r="E132" t="s">
        <v>190</v>
      </c>
      <c r="F132" t="s">
        <v>26</v>
      </c>
      <c r="G132" t="s">
        <v>27</v>
      </c>
      <c r="H132" t="s">
        <v>101</v>
      </c>
      <c r="I132" s="5">
        <v>2383.6</v>
      </c>
      <c r="J132" s="8">
        <v>4</v>
      </c>
      <c r="K132" s="5">
        <v>651.64</v>
      </c>
      <c r="L132" t="s">
        <v>21</v>
      </c>
      <c r="M132">
        <v>2023</v>
      </c>
      <c r="N132">
        <f t="shared" si="2"/>
        <v>9</v>
      </c>
    </row>
    <row r="133" spans="1:14" x14ac:dyDescent="0.25">
      <c r="A133" t="s">
        <v>267</v>
      </c>
      <c r="B133" s="2">
        <v>45192</v>
      </c>
      <c r="C133" t="s">
        <v>35</v>
      </c>
      <c r="D133" t="s">
        <v>79</v>
      </c>
      <c r="E133" t="s">
        <v>80</v>
      </c>
      <c r="F133" t="s">
        <v>48</v>
      </c>
      <c r="G133" t="s">
        <v>68</v>
      </c>
      <c r="H133" t="s">
        <v>202</v>
      </c>
      <c r="I133" s="5">
        <v>234.57</v>
      </c>
      <c r="J133" s="8">
        <v>8</v>
      </c>
      <c r="K133" s="5">
        <v>106.39</v>
      </c>
      <c r="L133" t="s">
        <v>29</v>
      </c>
      <c r="M133">
        <v>2023</v>
      </c>
      <c r="N133">
        <f t="shared" si="2"/>
        <v>9</v>
      </c>
    </row>
    <row r="134" spans="1:14" x14ac:dyDescent="0.25">
      <c r="A134" t="s">
        <v>433</v>
      </c>
      <c r="B134" s="2">
        <v>45192</v>
      </c>
      <c r="C134" t="s">
        <v>23</v>
      </c>
      <c r="D134" t="s">
        <v>86</v>
      </c>
      <c r="E134" t="s">
        <v>118</v>
      </c>
      <c r="F134" t="s">
        <v>26</v>
      </c>
      <c r="G134" t="s">
        <v>27</v>
      </c>
      <c r="H134" t="s">
        <v>162</v>
      </c>
      <c r="I134" s="5">
        <v>45.11</v>
      </c>
      <c r="J134" s="8">
        <v>2</v>
      </c>
      <c r="K134" s="5">
        <v>14.91</v>
      </c>
      <c r="L134" t="s">
        <v>29</v>
      </c>
      <c r="M134">
        <v>2023</v>
      </c>
      <c r="N134">
        <f t="shared" si="2"/>
        <v>9</v>
      </c>
    </row>
    <row r="135" spans="1:14" x14ac:dyDescent="0.25">
      <c r="A135" t="s">
        <v>275</v>
      </c>
      <c r="B135" s="2">
        <v>45194</v>
      </c>
      <c r="C135" t="s">
        <v>84</v>
      </c>
      <c r="D135" t="s">
        <v>36</v>
      </c>
      <c r="E135" t="s">
        <v>128</v>
      </c>
      <c r="F135" t="s">
        <v>48</v>
      </c>
      <c r="G135" t="s">
        <v>130</v>
      </c>
      <c r="H135" t="s">
        <v>131</v>
      </c>
      <c r="I135" s="5">
        <v>4907.68</v>
      </c>
      <c r="J135" s="8">
        <v>7</v>
      </c>
      <c r="K135" s="5">
        <v>2265.9699999999998</v>
      </c>
      <c r="L135" t="s">
        <v>21</v>
      </c>
      <c r="M135">
        <v>2023</v>
      </c>
      <c r="N135">
        <f t="shared" si="2"/>
        <v>9</v>
      </c>
    </row>
    <row r="136" spans="1:14" x14ac:dyDescent="0.25">
      <c r="A136" t="s">
        <v>302</v>
      </c>
      <c r="B136" s="2">
        <v>45197</v>
      </c>
      <c r="C136" t="s">
        <v>23</v>
      </c>
      <c r="D136" t="s">
        <v>41</v>
      </c>
      <c r="E136" t="s">
        <v>63</v>
      </c>
      <c r="F136" t="s">
        <v>26</v>
      </c>
      <c r="G136" t="s">
        <v>98</v>
      </c>
      <c r="H136" t="s">
        <v>99</v>
      </c>
      <c r="I136" s="5">
        <v>4676.6899999999996</v>
      </c>
      <c r="J136" s="8">
        <v>8</v>
      </c>
      <c r="K136" s="5">
        <v>907.26</v>
      </c>
      <c r="L136" t="s">
        <v>29</v>
      </c>
      <c r="M136">
        <v>2023</v>
      </c>
      <c r="N136">
        <f t="shared" si="2"/>
        <v>9</v>
      </c>
    </row>
    <row r="137" spans="1:14" x14ac:dyDescent="0.25">
      <c r="A137" t="s">
        <v>360</v>
      </c>
      <c r="B137" s="2">
        <v>45197</v>
      </c>
      <c r="C137" t="s">
        <v>46</v>
      </c>
      <c r="D137" t="s">
        <v>66</v>
      </c>
      <c r="E137" t="s">
        <v>271</v>
      </c>
      <c r="F137" t="s">
        <v>48</v>
      </c>
      <c r="G137" t="s">
        <v>151</v>
      </c>
      <c r="H137" t="s">
        <v>152</v>
      </c>
      <c r="I137" s="5">
        <v>3044.16</v>
      </c>
      <c r="J137" s="8">
        <v>4</v>
      </c>
      <c r="K137" s="5">
        <v>899.61</v>
      </c>
      <c r="L137" t="s">
        <v>21</v>
      </c>
      <c r="M137">
        <v>2023</v>
      </c>
      <c r="N137">
        <f t="shared" si="2"/>
        <v>10</v>
      </c>
    </row>
    <row r="138" spans="1:14" x14ac:dyDescent="0.25">
      <c r="A138" t="s">
        <v>436</v>
      </c>
      <c r="B138" s="2">
        <v>45201</v>
      </c>
      <c r="C138" t="s">
        <v>62</v>
      </c>
      <c r="D138" t="s">
        <v>24</v>
      </c>
      <c r="E138" t="s">
        <v>103</v>
      </c>
      <c r="F138" t="s">
        <v>48</v>
      </c>
      <c r="G138" t="s">
        <v>94</v>
      </c>
      <c r="H138" t="s">
        <v>104</v>
      </c>
      <c r="I138" s="5">
        <v>3778.9</v>
      </c>
      <c r="J138" s="8">
        <v>7</v>
      </c>
      <c r="K138" s="5">
        <v>1982.03</v>
      </c>
      <c r="L138" t="s">
        <v>21</v>
      </c>
      <c r="M138">
        <v>2023</v>
      </c>
      <c r="N138">
        <f t="shared" si="2"/>
        <v>10</v>
      </c>
    </row>
    <row r="139" spans="1:14" x14ac:dyDescent="0.25">
      <c r="A139" t="s">
        <v>113</v>
      </c>
      <c r="B139" s="2">
        <v>45202</v>
      </c>
      <c r="C139" t="s">
        <v>114</v>
      </c>
      <c r="D139" t="s">
        <v>41</v>
      </c>
      <c r="E139" t="s">
        <v>58</v>
      </c>
      <c r="F139" t="s">
        <v>18</v>
      </c>
      <c r="G139" t="s">
        <v>43</v>
      </c>
      <c r="H139" t="s">
        <v>76</v>
      </c>
      <c r="I139" s="5">
        <v>1651.09</v>
      </c>
      <c r="J139" s="8">
        <v>2</v>
      </c>
      <c r="K139" s="5">
        <v>576.55999999999995</v>
      </c>
      <c r="L139" t="s">
        <v>21</v>
      </c>
      <c r="M139">
        <v>2023</v>
      </c>
      <c r="N139">
        <f t="shared" si="2"/>
        <v>10</v>
      </c>
    </row>
    <row r="140" spans="1:14" x14ac:dyDescent="0.25">
      <c r="A140" t="s">
        <v>588</v>
      </c>
      <c r="B140" s="2">
        <v>45202</v>
      </c>
      <c r="C140" t="s">
        <v>57</v>
      </c>
      <c r="D140" t="s">
        <v>16</v>
      </c>
      <c r="E140" t="s">
        <v>190</v>
      </c>
      <c r="F140" t="s">
        <v>18</v>
      </c>
      <c r="G140" t="s">
        <v>43</v>
      </c>
      <c r="H140" t="s">
        <v>76</v>
      </c>
      <c r="I140" s="5">
        <v>5190.21</v>
      </c>
      <c r="J140" s="8">
        <v>8</v>
      </c>
      <c r="K140" s="5">
        <v>985.15</v>
      </c>
      <c r="L140" t="s">
        <v>21</v>
      </c>
      <c r="M140">
        <v>2023</v>
      </c>
      <c r="N140">
        <f t="shared" si="2"/>
        <v>10</v>
      </c>
    </row>
    <row r="141" spans="1:14" x14ac:dyDescent="0.25">
      <c r="A141" t="s">
        <v>526</v>
      </c>
      <c r="B141" s="2">
        <v>45203</v>
      </c>
      <c r="C141" t="s">
        <v>46</v>
      </c>
      <c r="D141" t="s">
        <v>36</v>
      </c>
      <c r="E141" t="s">
        <v>37</v>
      </c>
      <c r="F141" t="s">
        <v>48</v>
      </c>
      <c r="G141" t="s">
        <v>94</v>
      </c>
      <c r="H141" t="s">
        <v>104</v>
      </c>
      <c r="I141" s="5">
        <v>6396.69</v>
      </c>
      <c r="J141" s="8">
        <v>8</v>
      </c>
      <c r="K141" s="5">
        <v>2713.77</v>
      </c>
      <c r="L141" t="s">
        <v>29</v>
      </c>
      <c r="M141">
        <v>2023</v>
      </c>
      <c r="N141">
        <f t="shared" si="2"/>
        <v>10</v>
      </c>
    </row>
    <row r="142" spans="1:14" x14ac:dyDescent="0.25">
      <c r="A142" t="s">
        <v>384</v>
      </c>
      <c r="B142" s="2">
        <v>45205</v>
      </c>
      <c r="C142" t="s">
        <v>114</v>
      </c>
      <c r="D142" t="s">
        <v>36</v>
      </c>
      <c r="E142" t="s">
        <v>37</v>
      </c>
      <c r="F142" t="s">
        <v>48</v>
      </c>
      <c r="G142" t="s">
        <v>59</v>
      </c>
      <c r="H142" t="s">
        <v>142</v>
      </c>
      <c r="I142" s="5">
        <v>290.52999999999997</v>
      </c>
      <c r="J142" s="8">
        <v>4</v>
      </c>
      <c r="K142" s="5">
        <v>141.15</v>
      </c>
      <c r="L142" t="s">
        <v>29</v>
      </c>
      <c r="M142">
        <v>2023</v>
      </c>
      <c r="N142">
        <f t="shared" si="2"/>
        <v>10</v>
      </c>
    </row>
    <row r="143" spans="1:14" x14ac:dyDescent="0.25">
      <c r="A143" t="s">
        <v>569</v>
      </c>
      <c r="B143" s="2">
        <v>45208</v>
      </c>
      <c r="C143" t="s">
        <v>124</v>
      </c>
      <c r="D143" t="s">
        <v>74</v>
      </c>
      <c r="E143" t="s">
        <v>97</v>
      </c>
      <c r="F143" t="s">
        <v>26</v>
      </c>
      <c r="G143" t="s">
        <v>27</v>
      </c>
      <c r="H143" t="s">
        <v>162</v>
      </c>
      <c r="I143" s="5">
        <v>4782.83</v>
      </c>
      <c r="J143" s="8">
        <v>7</v>
      </c>
      <c r="K143" s="5">
        <v>1125.33</v>
      </c>
      <c r="L143" t="s">
        <v>21</v>
      </c>
      <c r="M143">
        <v>2023</v>
      </c>
      <c r="N143">
        <f t="shared" si="2"/>
        <v>10</v>
      </c>
    </row>
    <row r="144" spans="1:14" x14ac:dyDescent="0.25">
      <c r="A144" t="s">
        <v>61</v>
      </c>
      <c r="B144" s="2">
        <v>45210</v>
      </c>
      <c r="C144" t="s">
        <v>62</v>
      </c>
      <c r="D144" t="s">
        <v>41</v>
      </c>
      <c r="E144" t="s">
        <v>63</v>
      </c>
      <c r="F144" t="s">
        <v>18</v>
      </c>
      <c r="G144" t="s">
        <v>32</v>
      </c>
      <c r="H144" t="s">
        <v>33</v>
      </c>
      <c r="I144" s="5">
        <v>501.84</v>
      </c>
      <c r="J144" s="8">
        <v>4</v>
      </c>
      <c r="K144" s="5">
        <v>95.2</v>
      </c>
      <c r="L144" t="s">
        <v>29</v>
      </c>
      <c r="M144">
        <v>2023</v>
      </c>
      <c r="N144">
        <f t="shared" si="2"/>
        <v>10</v>
      </c>
    </row>
    <row r="145" spans="1:14" x14ac:dyDescent="0.25">
      <c r="A145" t="s">
        <v>611</v>
      </c>
      <c r="B145" s="2">
        <v>45211</v>
      </c>
      <c r="C145" t="s">
        <v>160</v>
      </c>
      <c r="D145" t="s">
        <v>79</v>
      </c>
      <c r="E145" t="s">
        <v>149</v>
      </c>
      <c r="F145" t="s">
        <v>18</v>
      </c>
      <c r="G145" t="s">
        <v>43</v>
      </c>
      <c r="H145" t="s">
        <v>44</v>
      </c>
      <c r="I145" s="5">
        <v>453.35</v>
      </c>
      <c r="J145" s="8">
        <v>4</v>
      </c>
      <c r="K145" s="5">
        <v>207.82</v>
      </c>
      <c r="L145" t="s">
        <v>29</v>
      </c>
      <c r="M145">
        <v>2023</v>
      </c>
      <c r="N145">
        <f t="shared" si="2"/>
        <v>10</v>
      </c>
    </row>
    <row r="146" spans="1:14" x14ac:dyDescent="0.25">
      <c r="A146" t="s">
        <v>14</v>
      </c>
      <c r="B146" s="2">
        <v>45212</v>
      </c>
      <c r="C146" t="s">
        <v>15</v>
      </c>
      <c r="D146" t="s">
        <v>16</v>
      </c>
      <c r="E146" t="s">
        <v>17</v>
      </c>
      <c r="F146" t="s">
        <v>18</v>
      </c>
      <c r="G146" t="s">
        <v>19</v>
      </c>
      <c r="H146" t="s">
        <v>20</v>
      </c>
      <c r="I146" s="5">
        <v>1226.79</v>
      </c>
      <c r="J146" s="8">
        <v>4</v>
      </c>
      <c r="K146" s="5">
        <v>591.47</v>
      </c>
      <c r="L146" t="s">
        <v>21</v>
      </c>
      <c r="M146">
        <v>2023</v>
      </c>
      <c r="N146">
        <f t="shared" si="2"/>
        <v>10</v>
      </c>
    </row>
    <row r="147" spans="1:14" x14ac:dyDescent="0.25">
      <c r="A147" t="s">
        <v>354</v>
      </c>
      <c r="B147" s="2">
        <v>45212</v>
      </c>
      <c r="C147" t="s">
        <v>92</v>
      </c>
      <c r="D147" t="s">
        <v>125</v>
      </c>
      <c r="E147" t="s">
        <v>146</v>
      </c>
      <c r="F147" t="s">
        <v>18</v>
      </c>
      <c r="G147" t="s">
        <v>19</v>
      </c>
      <c r="H147" t="s">
        <v>72</v>
      </c>
      <c r="I147" s="5">
        <v>1450.45</v>
      </c>
      <c r="J147" s="8">
        <v>3</v>
      </c>
      <c r="K147" s="5">
        <v>474.71</v>
      </c>
      <c r="L147" t="s">
        <v>21</v>
      </c>
      <c r="M147">
        <v>2023</v>
      </c>
      <c r="N147">
        <f t="shared" si="2"/>
        <v>10</v>
      </c>
    </row>
    <row r="148" spans="1:14" x14ac:dyDescent="0.25">
      <c r="A148" t="s">
        <v>240</v>
      </c>
      <c r="B148" s="2">
        <v>45216</v>
      </c>
      <c r="C148" t="s">
        <v>137</v>
      </c>
      <c r="D148" t="s">
        <v>86</v>
      </c>
      <c r="E148" t="s">
        <v>87</v>
      </c>
      <c r="F148" t="s">
        <v>18</v>
      </c>
      <c r="G148" t="s">
        <v>54</v>
      </c>
      <c r="H148" t="s">
        <v>55</v>
      </c>
      <c r="I148" s="5">
        <v>473.62</v>
      </c>
      <c r="J148" s="8">
        <v>2</v>
      </c>
      <c r="K148" s="5">
        <v>130.11000000000001</v>
      </c>
      <c r="L148" t="s">
        <v>21</v>
      </c>
      <c r="M148">
        <v>2023</v>
      </c>
      <c r="N148">
        <f t="shared" si="2"/>
        <v>10</v>
      </c>
    </row>
    <row r="149" spans="1:14" x14ac:dyDescent="0.25">
      <c r="A149" t="s">
        <v>395</v>
      </c>
      <c r="B149" s="2">
        <v>45218</v>
      </c>
      <c r="C149" t="s">
        <v>92</v>
      </c>
      <c r="D149" t="s">
        <v>41</v>
      </c>
      <c r="E149" t="s">
        <v>63</v>
      </c>
      <c r="F149" t="s">
        <v>18</v>
      </c>
      <c r="G149" t="s">
        <v>19</v>
      </c>
      <c r="H149" t="s">
        <v>20</v>
      </c>
      <c r="I149" s="5">
        <v>433.1</v>
      </c>
      <c r="J149" s="8">
        <v>6</v>
      </c>
      <c r="K149" s="5">
        <v>213.47</v>
      </c>
      <c r="L149" t="s">
        <v>29</v>
      </c>
      <c r="M149">
        <v>2023</v>
      </c>
      <c r="N149">
        <f t="shared" si="2"/>
        <v>10</v>
      </c>
    </row>
    <row r="150" spans="1:14" x14ac:dyDescent="0.25">
      <c r="A150" t="s">
        <v>309</v>
      </c>
      <c r="B150" s="2">
        <v>45220</v>
      </c>
      <c r="C150" t="s">
        <v>40</v>
      </c>
      <c r="D150" t="s">
        <v>41</v>
      </c>
      <c r="E150" t="s">
        <v>58</v>
      </c>
      <c r="F150" t="s">
        <v>18</v>
      </c>
      <c r="G150" t="s">
        <v>19</v>
      </c>
      <c r="H150" t="s">
        <v>20</v>
      </c>
      <c r="I150" s="5">
        <v>795.86</v>
      </c>
      <c r="J150" s="8">
        <v>5</v>
      </c>
      <c r="K150" s="5">
        <v>303.88</v>
      </c>
      <c r="L150" t="s">
        <v>29</v>
      </c>
      <c r="M150">
        <v>2023</v>
      </c>
      <c r="N150">
        <f t="shared" si="2"/>
        <v>10</v>
      </c>
    </row>
    <row r="151" spans="1:14" x14ac:dyDescent="0.25">
      <c r="A151" t="s">
        <v>634</v>
      </c>
      <c r="B151" s="2">
        <v>45221</v>
      </c>
      <c r="C151" t="s">
        <v>23</v>
      </c>
      <c r="D151" t="s">
        <v>125</v>
      </c>
      <c r="E151" t="s">
        <v>141</v>
      </c>
      <c r="F151" t="s">
        <v>48</v>
      </c>
      <c r="G151" t="s">
        <v>59</v>
      </c>
      <c r="H151" t="s">
        <v>60</v>
      </c>
      <c r="I151" s="5">
        <v>1531.66</v>
      </c>
      <c r="J151" s="8">
        <v>2</v>
      </c>
      <c r="K151" s="5">
        <v>503.81</v>
      </c>
      <c r="L151" t="s">
        <v>29</v>
      </c>
      <c r="M151">
        <v>2023</v>
      </c>
      <c r="N151">
        <f t="shared" si="2"/>
        <v>10</v>
      </c>
    </row>
    <row r="152" spans="1:14" x14ac:dyDescent="0.25">
      <c r="A152" t="s">
        <v>281</v>
      </c>
      <c r="B152" s="2">
        <v>45222</v>
      </c>
      <c r="C152" t="s">
        <v>133</v>
      </c>
      <c r="D152" t="s">
        <v>66</v>
      </c>
      <c r="E152" t="s">
        <v>180</v>
      </c>
      <c r="F152" t="s">
        <v>48</v>
      </c>
      <c r="G152" t="s">
        <v>49</v>
      </c>
      <c r="H152" t="s">
        <v>158</v>
      </c>
      <c r="I152" s="5">
        <v>1482.19</v>
      </c>
      <c r="J152" s="8">
        <v>6</v>
      </c>
      <c r="K152" s="5">
        <v>444.06</v>
      </c>
      <c r="L152" t="s">
        <v>21</v>
      </c>
      <c r="M152">
        <v>2023</v>
      </c>
      <c r="N152">
        <f t="shared" si="2"/>
        <v>10</v>
      </c>
    </row>
    <row r="153" spans="1:14" x14ac:dyDescent="0.25">
      <c r="A153" t="s">
        <v>627</v>
      </c>
      <c r="B153" s="2">
        <v>45224</v>
      </c>
      <c r="C153" t="s">
        <v>23</v>
      </c>
      <c r="D153" t="s">
        <v>52</v>
      </c>
      <c r="E153" t="s">
        <v>144</v>
      </c>
      <c r="F153" t="s">
        <v>18</v>
      </c>
      <c r="G153" t="s">
        <v>32</v>
      </c>
      <c r="H153" t="s">
        <v>33</v>
      </c>
      <c r="I153" s="5">
        <v>2478.71</v>
      </c>
      <c r="J153" s="8">
        <v>5</v>
      </c>
      <c r="K153" s="5">
        <v>1179.73</v>
      </c>
      <c r="L153" t="s">
        <v>29</v>
      </c>
      <c r="M153">
        <v>2023</v>
      </c>
      <c r="N153">
        <f t="shared" si="2"/>
        <v>10</v>
      </c>
    </row>
    <row r="154" spans="1:14" x14ac:dyDescent="0.25">
      <c r="A154" t="s">
        <v>672</v>
      </c>
      <c r="B154" s="2">
        <v>45224</v>
      </c>
      <c r="C154" t="s">
        <v>31</v>
      </c>
      <c r="D154" t="s">
        <v>74</v>
      </c>
      <c r="E154" t="s">
        <v>97</v>
      </c>
      <c r="F154" t="s">
        <v>26</v>
      </c>
      <c r="G154" t="s">
        <v>89</v>
      </c>
      <c r="H154" t="s">
        <v>265</v>
      </c>
      <c r="I154" s="5">
        <v>5521.97</v>
      </c>
      <c r="J154" s="8">
        <v>8</v>
      </c>
      <c r="K154" s="5">
        <v>1271.3800000000001</v>
      </c>
      <c r="L154" t="s">
        <v>38</v>
      </c>
      <c r="M154">
        <v>2023</v>
      </c>
      <c r="N154">
        <f t="shared" si="2"/>
        <v>10</v>
      </c>
    </row>
    <row r="155" spans="1:14" x14ac:dyDescent="0.25">
      <c r="A155" t="s">
        <v>572</v>
      </c>
      <c r="B155" s="2">
        <v>45225</v>
      </c>
      <c r="C155" t="s">
        <v>31</v>
      </c>
      <c r="D155" t="s">
        <v>16</v>
      </c>
      <c r="E155" t="s">
        <v>71</v>
      </c>
      <c r="F155" t="s">
        <v>18</v>
      </c>
      <c r="G155" t="s">
        <v>43</v>
      </c>
      <c r="H155" t="s">
        <v>44</v>
      </c>
      <c r="I155" s="5">
        <v>2835.5</v>
      </c>
      <c r="J155" s="8">
        <v>6</v>
      </c>
      <c r="K155" s="5">
        <v>1361.01</v>
      </c>
      <c r="L155" t="s">
        <v>21</v>
      </c>
      <c r="M155">
        <v>2023</v>
      </c>
      <c r="N155">
        <f t="shared" si="2"/>
        <v>10</v>
      </c>
    </row>
    <row r="156" spans="1:14" x14ac:dyDescent="0.25">
      <c r="A156" t="s">
        <v>491</v>
      </c>
      <c r="B156" s="2">
        <v>45227</v>
      </c>
      <c r="C156" t="s">
        <v>46</v>
      </c>
      <c r="D156" t="s">
        <v>24</v>
      </c>
      <c r="E156" t="s">
        <v>25</v>
      </c>
      <c r="F156" t="s">
        <v>18</v>
      </c>
      <c r="G156" t="s">
        <v>54</v>
      </c>
      <c r="H156" t="s">
        <v>108</v>
      </c>
      <c r="I156" s="5">
        <v>592.22</v>
      </c>
      <c r="J156" s="8">
        <v>1</v>
      </c>
      <c r="K156" s="5">
        <v>302.37</v>
      </c>
      <c r="L156" t="s">
        <v>21</v>
      </c>
      <c r="M156">
        <v>2023</v>
      </c>
      <c r="N156">
        <f t="shared" si="2"/>
        <v>10</v>
      </c>
    </row>
    <row r="157" spans="1:14" x14ac:dyDescent="0.25">
      <c r="A157" t="s">
        <v>119</v>
      </c>
      <c r="B157" s="2">
        <v>45230</v>
      </c>
      <c r="C157" t="s">
        <v>120</v>
      </c>
      <c r="D157" t="s">
        <v>16</v>
      </c>
      <c r="E157" t="s">
        <v>17</v>
      </c>
      <c r="F157" t="s">
        <v>18</v>
      </c>
      <c r="G157" t="s">
        <v>54</v>
      </c>
      <c r="H157" t="s">
        <v>108</v>
      </c>
      <c r="I157" s="5">
        <v>878.35</v>
      </c>
      <c r="J157" s="8">
        <v>6</v>
      </c>
      <c r="K157" s="5">
        <v>218.08</v>
      </c>
      <c r="L157" t="s">
        <v>38</v>
      </c>
      <c r="M157">
        <v>2023</v>
      </c>
      <c r="N157">
        <f t="shared" si="2"/>
        <v>10</v>
      </c>
    </row>
    <row r="158" spans="1:14" x14ac:dyDescent="0.25">
      <c r="A158" t="s">
        <v>386</v>
      </c>
      <c r="B158" s="2">
        <v>45230</v>
      </c>
      <c r="C158" t="s">
        <v>40</v>
      </c>
      <c r="D158" t="s">
        <v>86</v>
      </c>
      <c r="E158" t="s">
        <v>116</v>
      </c>
      <c r="F158" t="s">
        <v>18</v>
      </c>
      <c r="G158" t="s">
        <v>43</v>
      </c>
      <c r="H158" t="s">
        <v>44</v>
      </c>
      <c r="I158" s="5">
        <v>128.41999999999999</v>
      </c>
      <c r="J158" s="8">
        <v>6</v>
      </c>
      <c r="K158" s="5">
        <v>23.95</v>
      </c>
      <c r="L158" t="s">
        <v>21</v>
      </c>
      <c r="M158">
        <v>2023</v>
      </c>
      <c r="N158">
        <f t="shared" si="2"/>
        <v>11</v>
      </c>
    </row>
    <row r="159" spans="1:14" x14ac:dyDescent="0.25">
      <c r="A159" t="s">
        <v>282</v>
      </c>
      <c r="B159" s="2">
        <v>45232</v>
      </c>
      <c r="C159" t="s">
        <v>84</v>
      </c>
      <c r="D159" t="s">
        <v>24</v>
      </c>
      <c r="E159" t="s">
        <v>25</v>
      </c>
      <c r="F159" t="s">
        <v>26</v>
      </c>
      <c r="G159" t="s">
        <v>81</v>
      </c>
      <c r="H159" t="s">
        <v>82</v>
      </c>
      <c r="I159" s="5">
        <v>3626.24</v>
      </c>
      <c r="J159" s="8">
        <v>8</v>
      </c>
      <c r="K159" s="5">
        <v>1146.69</v>
      </c>
      <c r="L159" t="s">
        <v>29</v>
      </c>
      <c r="M159">
        <v>2023</v>
      </c>
      <c r="N159">
        <f t="shared" si="2"/>
        <v>11</v>
      </c>
    </row>
    <row r="160" spans="1:14" x14ac:dyDescent="0.25">
      <c r="A160" t="s">
        <v>414</v>
      </c>
      <c r="B160" s="2">
        <v>45233</v>
      </c>
      <c r="C160" t="s">
        <v>78</v>
      </c>
      <c r="D160" t="s">
        <v>24</v>
      </c>
      <c r="E160" t="s">
        <v>377</v>
      </c>
      <c r="F160" t="s">
        <v>18</v>
      </c>
      <c r="G160" t="s">
        <v>32</v>
      </c>
      <c r="H160" t="s">
        <v>147</v>
      </c>
      <c r="I160" s="5">
        <v>2584.71</v>
      </c>
      <c r="J160" s="8">
        <v>7</v>
      </c>
      <c r="K160" s="5">
        <v>901.77</v>
      </c>
      <c r="L160" t="s">
        <v>21</v>
      </c>
      <c r="M160">
        <v>2023</v>
      </c>
      <c r="N160">
        <f t="shared" si="2"/>
        <v>11</v>
      </c>
    </row>
    <row r="161" spans="1:14" x14ac:dyDescent="0.25">
      <c r="A161" t="s">
        <v>666</v>
      </c>
      <c r="B161" s="2">
        <v>45235</v>
      </c>
      <c r="C161" t="s">
        <v>84</v>
      </c>
      <c r="D161" t="s">
        <v>16</v>
      </c>
      <c r="E161" t="s">
        <v>17</v>
      </c>
      <c r="F161" t="s">
        <v>48</v>
      </c>
      <c r="G161" t="s">
        <v>151</v>
      </c>
      <c r="H161" t="s">
        <v>174</v>
      </c>
      <c r="I161" s="5">
        <v>3327.22</v>
      </c>
      <c r="J161" s="8">
        <v>8</v>
      </c>
      <c r="K161" s="5">
        <v>1277.49</v>
      </c>
      <c r="L161" t="s">
        <v>21</v>
      </c>
      <c r="M161">
        <v>2023</v>
      </c>
      <c r="N161">
        <f t="shared" si="2"/>
        <v>11</v>
      </c>
    </row>
    <row r="162" spans="1:14" x14ac:dyDescent="0.25">
      <c r="A162" t="s">
        <v>221</v>
      </c>
      <c r="B162" s="2">
        <v>45239</v>
      </c>
      <c r="C162" t="s">
        <v>35</v>
      </c>
      <c r="D162" t="s">
        <v>36</v>
      </c>
      <c r="E162" t="s">
        <v>37</v>
      </c>
      <c r="F162" t="s">
        <v>48</v>
      </c>
      <c r="G162" t="s">
        <v>130</v>
      </c>
      <c r="H162" t="s">
        <v>131</v>
      </c>
      <c r="I162" s="5">
        <v>5530.9</v>
      </c>
      <c r="J162" s="8">
        <v>6</v>
      </c>
      <c r="K162" s="5">
        <v>2521.87</v>
      </c>
      <c r="L162" t="s">
        <v>38</v>
      </c>
      <c r="M162">
        <v>2023</v>
      </c>
      <c r="N162">
        <f t="shared" si="2"/>
        <v>11</v>
      </c>
    </row>
    <row r="163" spans="1:14" x14ac:dyDescent="0.25">
      <c r="A163" t="s">
        <v>73</v>
      </c>
      <c r="B163" s="2">
        <v>45240</v>
      </c>
      <c r="C163" t="s">
        <v>46</v>
      </c>
      <c r="D163" t="s">
        <v>74</v>
      </c>
      <c r="E163" t="s">
        <v>75</v>
      </c>
      <c r="F163" t="s">
        <v>18</v>
      </c>
      <c r="G163" t="s">
        <v>43</v>
      </c>
      <c r="H163" t="s">
        <v>76</v>
      </c>
      <c r="I163" s="5">
        <v>1522.15</v>
      </c>
      <c r="J163" s="8">
        <v>4</v>
      </c>
      <c r="K163" s="5">
        <v>495.02</v>
      </c>
      <c r="L163" t="s">
        <v>21</v>
      </c>
      <c r="M163">
        <v>2023</v>
      </c>
      <c r="N163">
        <f t="shared" si="2"/>
        <v>11</v>
      </c>
    </row>
    <row r="164" spans="1:14" x14ac:dyDescent="0.25">
      <c r="A164" t="s">
        <v>670</v>
      </c>
      <c r="B164" s="2">
        <v>45241</v>
      </c>
      <c r="C164" t="s">
        <v>40</v>
      </c>
      <c r="D164" t="s">
        <v>41</v>
      </c>
      <c r="E164" t="s">
        <v>42</v>
      </c>
      <c r="F164" t="s">
        <v>18</v>
      </c>
      <c r="G164" t="s">
        <v>19</v>
      </c>
      <c r="H164" t="s">
        <v>20</v>
      </c>
      <c r="I164" s="5">
        <v>108.48</v>
      </c>
      <c r="J164" s="8">
        <v>3</v>
      </c>
      <c r="K164" s="5">
        <v>45.35</v>
      </c>
      <c r="L164" t="s">
        <v>21</v>
      </c>
      <c r="M164">
        <v>2023</v>
      </c>
      <c r="N164">
        <f t="shared" si="2"/>
        <v>11</v>
      </c>
    </row>
    <row r="165" spans="1:14" x14ac:dyDescent="0.25">
      <c r="A165" t="s">
        <v>223</v>
      </c>
      <c r="B165" s="2">
        <v>45243</v>
      </c>
      <c r="C165" t="s">
        <v>40</v>
      </c>
      <c r="D165" t="s">
        <v>86</v>
      </c>
      <c r="E165" t="s">
        <v>116</v>
      </c>
      <c r="F165" t="s">
        <v>48</v>
      </c>
      <c r="G165" t="s">
        <v>49</v>
      </c>
      <c r="H165" t="s">
        <v>50</v>
      </c>
      <c r="I165" s="5">
        <v>2525.44</v>
      </c>
      <c r="J165" s="8">
        <v>4</v>
      </c>
      <c r="K165" s="5">
        <v>726.58</v>
      </c>
      <c r="L165" t="s">
        <v>38</v>
      </c>
      <c r="M165">
        <v>2023</v>
      </c>
      <c r="N165">
        <f t="shared" si="2"/>
        <v>11</v>
      </c>
    </row>
    <row r="166" spans="1:14" x14ac:dyDescent="0.25">
      <c r="A166" t="s">
        <v>30</v>
      </c>
      <c r="B166" s="2">
        <v>45245</v>
      </c>
      <c r="C166" t="s">
        <v>31</v>
      </c>
      <c r="D166" t="s">
        <v>24</v>
      </c>
      <c r="E166" t="s">
        <v>25</v>
      </c>
      <c r="F166" t="s">
        <v>18</v>
      </c>
      <c r="G166" t="s">
        <v>32</v>
      </c>
      <c r="H166" t="s">
        <v>33</v>
      </c>
      <c r="I166" s="5">
        <v>736.01</v>
      </c>
      <c r="J166" s="8">
        <v>5</v>
      </c>
      <c r="K166" s="5">
        <v>279.74</v>
      </c>
      <c r="L166" t="s">
        <v>21</v>
      </c>
      <c r="M166">
        <v>2023</v>
      </c>
      <c r="N166">
        <f t="shared" si="2"/>
        <v>11</v>
      </c>
    </row>
    <row r="167" spans="1:14" x14ac:dyDescent="0.25">
      <c r="A167" t="s">
        <v>475</v>
      </c>
      <c r="B167" s="2">
        <v>45247</v>
      </c>
      <c r="C167" t="s">
        <v>40</v>
      </c>
      <c r="D167" t="s">
        <v>86</v>
      </c>
      <c r="E167" t="s">
        <v>87</v>
      </c>
      <c r="F167" t="s">
        <v>48</v>
      </c>
      <c r="G167" t="s">
        <v>94</v>
      </c>
      <c r="H167" t="s">
        <v>95</v>
      </c>
      <c r="I167" s="5">
        <v>1288.1500000000001</v>
      </c>
      <c r="J167" s="8">
        <v>8</v>
      </c>
      <c r="K167" s="5">
        <v>402.05</v>
      </c>
      <c r="L167" t="s">
        <v>29</v>
      </c>
      <c r="M167">
        <v>2023</v>
      </c>
      <c r="N167">
        <f t="shared" si="2"/>
        <v>11</v>
      </c>
    </row>
    <row r="168" spans="1:14" x14ac:dyDescent="0.25">
      <c r="A168" t="s">
        <v>704</v>
      </c>
      <c r="B168" s="2">
        <v>45247</v>
      </c>
      <c r="C168" t="s">
        <v>198</v>
      </c>
      <c r="D168" t="s">
        <v>79</v>
      </c>
      <c r="E168" t="s">
        <v>80</v>
      </c>
      <c r="F168" t="s">
        <v>18</v>
      </c>
      <c r="G168" t="s">
        <v>32</v>
      </c>
      <c r="H168" t="s">
        <v>33</v>
      </c>
      <c r="I168" s="5">
        <v>2992.16</v>
      </c>
      <c r="J168" s="8">
        <v>8</v>
      </c>
      <c r="K168" s="5">
        <v>985.32</v>
      </c>
      <c r="L168" t="s">
        <v>29</v>
      </c>
      <c r="M168">
        <v>2023</v>
      </c>
      <c r="N168">
        <f t="shared" si="2"/>
        <v>11</v>
      </c>
    </row>
    <row r="169" spans="1:14" x14ac:dyDescent="0.25">
      <c r="A169" t="s">
        <v>489</v>
      </c>
      <c r="B169" s="2">
        <v>45249</v>
      </c>
      <c r="C169" t="s">
        <v>133</v>
      </c>
      <c r="D169" t="s">
        <v>74</v>
      </c>
      <c r="E169" t="s">
        <v>213</v>
      </c>
      <c r="F169" t="s">
        <v>48</v>
      </c>
      <c r="G169" t="s">
        <v>59</v>
      </c>
      <c r="H169" t="s">
        <v>142</v>
      </c>
      <c r="I169" s="5">
        <v>321.08</v>
      </c>
      <c r="J169" s="8">
        <v>3</v>
      </c>
      <c r="K169" s="5">
        <v>117.42</v>
      </c>
      <c r="L169" t="s">
        <v>21</v>
      </c>
      <c r="M169">
        <v>2023</v>
      </c>
      <c r="N169">
        <f t="shared" si="2"/>
        <v>11</v>
      </c>
    </row>
    <row r="170" spans="1:14" x14ac:dyDescent="0.25">
      <c r="A170" t="s">
        <v>651</v>
      </c>
      <c r="B170" s="2">
        <v>45250</v>
      </c>
      <c r="C170" t="s">
        <v>62</v>
      </c>
      <c r="D170" t="s">
        <v>41</v>
      </c>
      <c r="E170" t="s">
        <v>63</v>
      </c>
      <c r="F170" t="s">
        <v>26</v>
      </c>
      <c r="G170" t="s">
        <v>89</v>
      </c>
      <c r="H170" t="s">
        <v>90</v>
      </c>
      <c r="I170" s="5">
        <v>1371.33</v>
      </c>
      <c r="J170" s="8">
        <v>3</v>
      </c>
      <c r="K170" s="5">
        <v>450.95</v>
      </c>
      <c r="L170" t="s">
        <v>21</v>
      </c>
      <c r="M170">
        <v>2023</v>
      </c>
      <c r="N170">
        <f t="shared" si="2"/>
        <v>11</v>
      </c>
    </row>
    <row r="171" spans="1:14" x14ac:dyDescent="0.25">
      <c r="A171" t="s">
        <v>117</v>
      </c>
      <c r="B171" s="2">
        <v>45257</v>
      </c>
      <c r="C171" t="s">
        <v>15</v>
      </c>
      <c r="D171" t="s">
        <v>86</v>
      </c>
      <c r="E171" t="s">
        <v>118</v>
      </c>
      <c r="F171" t="s">
        <v>26</v>
      </c>
      <c r="G171" t="s">
        <v>81</v>
      </c>
      <c r="H171" t="s">
        <v>112</v>
      </c>
      <c r="I171" s="5">
        <v>113.65</v>
      </c>
      <c r="J171" s="8">
        <v>5</v>
      </c>
      <c r="K171" s="5">
        <v>30.03</v>
      </c>
      <c r="L171" t="s">
        <v>38</v>
      </c>
      <c r="M171">
        <v>2023</v>
      </c>
      <c r="N171">
        <f t="shared" si="2"/>
        <v>12</v>
      </c>
    </row>
    <row r="172" spans="1:14" x14ac:dyDescent="0.25">
      <c r="A172" t="s">
        <v>301</v>
      </c>
      <c r="B172" s="2">
        <v>45263</v>
      </c>
      <c r="C172" t="s">
        <v>84</v>
      </c>
      <c r="D172" t="s">
        <v>16</v>
      </c>
      <c r="E172" t="s">
        <v>71</v>
      </c>
      <c r="F172" t="s">
        <v>26</v>
      </c>
      <c r="G172" t="s">
        <v>89</v>
      </c>
      <c r="H172" t="s">
        <v>90</v>
      </c>
      <c r="I172" s="5">
        <v>356.13</v>
      </c>
      <c r="J172" s="8">
        <v>3</v>
      </c>
      <c r="K172" s="5">
        <v>97.81</v>
      </c>
      <c r="L172" t="s">
        <v>21</v>
      </c>
      <c r="M172">
        <v>2023</v>
      </c>
      <c r="N172">
        <f t="shared" si="2"/>
        <v>12</v>
      </c>
    </row>
    <row r="173" spans="1:14" x14ac:dyDescent="0.25">
      <c r="A173" t="s">
        <v>364</v>
      </c>
      <c r="B173" s="2">
        <v>45263</v>
      </c>
      <c r="C173" t="s">
        <v>111</v>
      </c>
      <c r="D173" t="s">
        <v>66</v>
      </c>
      <c r="E173" t="s">
        <v>67</v>
      </c>
      <c r="F173" t="s">
        <v>18</v>
      </c>
      <c r="G173" t="s">
        <v>54</v>
      </c>
      <c r="H173" t="s">
        <v>108</v>
      </c>
      <c r="I173" s="5">
        <v>153.91</v>
      </c>
      <c r="J173" s="8">
        <v>1</v>
      </c>
      <c r="K173" s="5">
        <v>32.03</v>
      </c>
      <c r="L173" t="s">
        <v>38</v>
      </c>
      <c r="M173">
        <v>2023</v>
      </c>
      <c r="N173">
        <f t="shared" si="2"/>
        <v>12</v>
      </c>
    </row>
    <row r="174" spans="1:14" x14ac:dyDescent="0.25">
      <c r="A174" t="s">
        <v>703</v>
      </c>
      <c r="B174" s="2">
        <v>45263</v>
      </c>
      <c r="C174" t="s">
        <v>23</v>
      </c>
      <c r="D174" t="s">
        <v>79</v>
      </c>
      <c r="E174" t="s">
        <v>138</v>
      </c>
      <c r="F174" t="s">
        <v>26</v>
      </c>
      <c r="G174" t="s">
        <v>89</v>
      </c>
      <c r="H174" t="s">
        <v>90</v>
      </c>
      <c r="I174" s="5">
        <v>2184.23</v>
      </c>
      <c r="J174" s="8">
        <v>5</v>
      </c>
      <c r="K174" s="5">
        <v>639.27</v>
      </c>
      <c r="L174" t="s">
        <v>38</v>
      </c>
      <c r="M174">
        <v>2023</v>
      </c>
      <c r="N174">
        <f t="shared" si="2"/>
        <v>12</v>
      </c>
    </row>
    <row r="175" spans="1:14" x14ac:dyDescent="0.25">
      <c r="A175" t="s">
        <v>83</v>
      </c>
      <c r="B175" s="2">
        <v>45265</v>
      </c>
      <c r="C175" t="s">
        <v>84</v>
      </c>
      <c r="D175" t="s">
        <v>16</v>
      </c>
      <c r="E175" t="s">
        <v>71</v>
      </c>
      <c r="F175" t="s">
        <v>26</v>
      </c>
      <c r="G175" t="s">
        <v>27</v>
      </c>
      <c r="H175" t="s">
        <v>28</v>
      </c>
      <c r="I175" s="5">
        <v>5731.52</v>
      </c>
      <c r="J175" s="8">
        <v>8</v>
      </c>
      <c r="K175" s="5">
        <v>1438</v>
      </c>
      <c r="L175" t="s">
        <v>21</v>
      </c>
      <c r="M175">
        <v>2023</v>
      </c>
      <c r="N175">
        <f t="shared" si="2"/>
        <v>12</v>
      </c>
    </row>
    <row r="176" spans="1:14" x14ac:dyDescent="0.25">
      <c r="A176" t="s">
        <v>349</v>
      </c>
      <c r="B176" s="2">
        <v>45268</v>
      </c>
      <c r="C176" t="s">
        <v>137</v>
      </c>
      <c r="D176" t="s">
        <v>41</v>
      </c>
      <c r="E176" t="s">
        <v>63</v>
      </c>
      <c r="F176" t="s">
        <v>48</v>
      </c>
      <c r="G176" t="s">
        <v>59</v>
      </c>
      <c r="H176" t="s">
        <v>60</v>
      </c>
      <c r="I176" s="5">
        <v>1203.73</v>
      </c>
      <c r="J176" s="8">
        <v>3</v>
      </c>
      <c r="K176" s="5">
        <v>568.91</v>
      </c>
      <c r="L176" t="s">
        <v>38</v>
      </c>
      <c r="M176">
        <v>2023</v>
      </c>
      <c r="N176">
        <f t="shared" si="2"/>
        <v>12</v>
      </c>
    </row>
    <row r="177" spans="1:14" x14ac:dyDescent="0.25">
      <c r="A177" t="s">
        <v>374</v>
      </c>
      <c r="B177" s="2">
        <v>45268</v>
      </c>
      <c r="C177" t="s">
        <v>46</v>
      </c>
      <c r="D177" t="s">
        <v>79</v>
      </c>
      <c r="E177" t="s">
        <v>138</v>
      </c>
      <c r="F177" t="s">
        <v>18</v>
      </c>
      <c r="G177" t="s">
        <v>19</v>
      </c>
      <c r="H177" t="s">
        <v>20</v>
      </c>
      <c r="I177" s="5">
        <v>4083.55</v>
      </c>
      <c r="J177" s="8">
        <v>8</v>
      </c>
      <c r="K177" s="5">
        <v>1709.42</v>
      </c>
      <c r="L177" t="s">
        <v>21</v>
      </c>
      <c r="M177">
        <v>2023</v>
      </c>
      <c r="N177">
        <f t="shared" si="2"/>
        <v>12</v>
      </c>
    </row>
    <row r="178" spans="1:14" x14ac:dyDescent="0.25">
      <c r="A178" t="s">
        <v>493</v>
      </c>
      <c r="B178" s="2">
        <v>45270</v>
      </c>
      <c r="C178" t="s">
        <v>65</v>
      </c>
      <c r="D178" t="s">
        <v>52</v>
      </c>
      <c r="E178" t="s">
        <v>144</v>
      </c>
      <c r="F178" t="s">
        <v>26</v>
      </c>
      <c r="G178" t="s">
        <v>27</v>
      </c>
      <c r="H178" t="s">
        <v>28</v>
      </c>
      <c r="I178" s="5">
        <v>4072.88</v>
      </c>
      <c r="J178" s="8">
        <v>5</v>
      </c>
      <c r="K178" s="5">
        <v>1335.13</v>
      </c>
      <c r="L178" t="s">
        <v>21</v>
      </c>
      <c r="M178">
        <v>2023</v>
      </c>
      <c r="N178">
        <f t="shared" si="2"/>
        <v>12</v>
      </c>
    </row>
    <row r="179" spans="1:14" x14ac:dyDescent="0.25">
      <c r="A179" t="s">
        <v>480</v>
      </c>
      <c r="B179" s="2">
        <v>45272</v>
      </c>
      <c r="C179" t="s">
        <v>31</v>
      </c>
      <c r="D179" t="s">
        <v>41</v>
      </c>
      <c r="E179" t="s">
        <v>42</v>
      </c>
      <c r="F179" t="s">
        <v>18</v>
      </c>
      <c r="G179" t="s">
        <v>19</v>
      </c>
      <c r="H179" t="s">
        <v>72</v>
      </c>
      <c r="I179" s="5">
        <v>2080.83</v>
      </c>
      <c r="J179" s="8">
        <v>7</v>
      </c>
      <c r="K179" s="5">
        <v>917.75</v>
      </c>
      <c r="L179" t="s">
        <v>21</v>
      </c>
      <c r="M179">
        <v>2023</v>
      </c>
      <c r="N179">
        <f t="shared" si="2"/>
        <v>12</v>
      </c>
    </row>
    <row r="180" spans="1:14" x14ac:dyDescent="0.25">
      <c r="A180" t="s">
        <v>136</v>
      </c>
      <c r="B180" s="2">
        <v>45274</v>
      </c>
      <c r="C180" t="s">
        <v>137</v>
      </c>
      <c r="D180" t="s">
        <v>79</v>
      </c>
      <c r="E180" t="s">
        <v>138</v>
      </c>
      <c r="F180" t="s">
        <v>48</v>
      </c>
      <c r="G180" t="s">
        <v>130</v>
      </c>
      <c r="H180" t="s">
        <v>139</v>
      </c>
      <c r="I180" s="5">
        <v>1894.07</v>
      </c>
      <c r="J180" s="8">
        <v>8</v>
      </c>
      <c r="K180" s="5">
        <v>675.4</v>
      </c>
      <c r="L180" t="s">
        <v>21</v>
      </c>
      <c r="M180">
        <v>2023</v>
      </c>
      <c r="N180">
        <f t="shared" si="2"/>
        <v>12</v>
      </c>
    </row>
    <row r="181" spans="1:14" x14ac:dyDescent="0.25">
      <c r="A181" t="s">
        <v>582</v>
      </c>
      <c r="B181" s="2">
        <v>45276</v>
      </c>
      <c r="C181" t="s">
        <v>78</v>
      </c>
      <c r="D181" t="s">
        <v>74</v>
      </c>
      <c r="E181" t="s">
        <v>213</v>
      </c>
      <c r="F181" t="s">
        <v>26</v>
      </c>
      <c r="G181" t="s">
        <v>98</v>
      </c>
      <c r="H181" t="s">
        <v>176</v>
      </c>
      <c r="I181" s="5">
        <v>406.87</v>
      </c>
      <c r="J181" s="8">
        <v>1</v>
      </c>
      <c r="K181" s="5">
        <v>172.31</v>
      </c>
      <c r="L181" t="s">
        <v>21</v>
      </c>
      <c r="M181">
        <v>2023</v>
      </c>
      <c r="N181">
        <f t="shared" si="2"/>
        <v>12</v>
      </c>
    </row>
    <row r="182" spans="1:14" x14ac:dyDescent="0.25">
      <c r="A182" t="s">
        <v>272</v>
      </c>
      <c r="B182" s="2">
        <v>45277</v>
      </c>
      <c r="C182" t="s">
        <v>133</v>
      </c>
      <c r="D182" t="s">
        <v>86</v>
      </c>
      <c r="E182" t="s">
        <v>116</v>
      </c>
      <c r="F182" t="s">
        <v>18</v>
      </c>
      <c r="G182" t="s">
        <v>43</v>
      </c>
      <c r="H182" t="s">
        <v>44</v>
      </c>
      <c r="I182" s="5">
        <v>525.45000000000005</v>
      </c>
      <c r="J182" s="8">
        <v>3</v>
      </c>
      <c r="K182" s="5">
        <v>178.47</v>
      </c>
      <c r="L182" t="s">
        <v>29</v>
      </c>
      <c r="M182">
        <v>2023</v>
      </c>
      <c r="N182">
        <f t="shared" si="2"/>
        <v>12</v>
      </c>
    </row>
    <row r="183" spans="1:14" x14ac:dyDescent="0.25">
      <c r="A183" t="s">
        <v>655</v>
      </c>
      <c r="B183" s="2">
        <v>45277</v>
      </c>
      <c r="C183" t="s">
        <v>40</v>
      </c>
      <c r="D183" t="s">
        <v>86</v>
      </c>
      <c r="E183" t="s">
        <v>118</v>
      </c>
      <c r="F183" t="s">
        <v>26</v>
      </c>
      <c r="G183" t="s">
        <v>98</v>
      </c>
      <c r="H183" t="s">
        <v>176</v>
      </c>
      <c r="I183" s="5">
        <v>4645.62</v>
      </c>
      <c r="J183" s="8">
        <v>7</v>
      </c>
      <c r="K183" s="5">
        <v>1221.24</v>
      </c>
      <c r="L183" t="s">
        <v>21</v>
      </c>
      <c r="M183">
        <v>2023</v>
      </c>
      <c r="N183">
        <f t="shared" si="2"/>
        <v>12</v>
      </c>
    </row>
    <row r="184" spans="1:14" x14ac:dyDescent="0.25">
      <c r="A184" t="s">
        <v>368</v>
      </c>
      <c r="B184" s="2">
        <v>45280</v>
      </c>
      <c r="C184" t="s">
        <v>35</v>
      </c>
      <c r="D184" t="s">
        <v>36</v>
      </c>
      <c r="E184" t="s">
        <v>37</v>
      </c>
      <c r="F184" t="s">
        <v>26</v>
      </c>
      <c r="G184" t="s">
        <v>98</v>
      </c>
      <c r="H184" t="s">
        <v>176</v>
      </c>
      <c r="I184" s="5">
        <v>4086.14</v>
      </c>
      <c r="J184" s="8">
        <v>6</v>
      </c>
      <c r="K184" s="5">
        <v>1114.05</v>
      </c>
      <c r="L184" t="s">
        <v>38</v>
      </c>
      <c r="M184">
        <v>2023</v>
      </c>
      <c r="N184">
        <f t="shared" si="2"/>
        <v>12</v>
      </c>
    </row>
    <row r="185" spans="1:14" x14ac:dyDescent="0.25">
      <c r="A185" t="s">
        <v>423</v>
      </c>
      <c r="B185" s="2">
        <v>45281</v>
      </c>
      <c r="C185" t="s">
        <v>160</v>
      </c>
      <c r="D185" t="s">
        <v>74</v>
      </c>
      <c r="E185" t="s">
        <v>75</v>
      </c>
      <c r="F185" t="s">
        <v>18</v>
      </c>
      <c r="G185" t="s">
        <v>43</v>
      </c>
      <c r="H185" t="s">
        <v>76</v>
      </c>
      <c r="I185" s="5">
        <v>267.62</v>
      </c>
      <c r="J185" s="8">
        <v>3</v>
      </c>
      <c r="K185" s="5">
        <v>136.24</v>
      </c>
      <c r="L185" t="s">
        <v>29</v>
      </c>
      <c r="M185">
        <v>2023</v>
      </c>
      <c r="N185">
        <f t="shared" si="2"/>
        <v>12</v>
      </c>
    </row>
    <row r="186" spans="1:14" x14ac:dyDescent="0.25">
      <c r="A186" t="s">
        <v>419</v>
      </c>
      <c r="B186" s="2">
        <v>45282</v>
      </c>
      <c r="C186" t="s">
        <v>92</v>
      </c>
      <c r="D186" t="s">
        <v>16</v>
      </c>
      <c r="E186" t="s">
        <v>190</v>
      </c>
      <c r="F186" t="s">
        <v>18</v>
      </c>
      <c r="G186" t="s">
        <v>32</v>
      </c>
      <c r="H186" t="s">
        <v>147</v>
      </c>
      <c r="I186" s="5">
        <v>465.72</v>
      </c>
      <c r="J186" s="8">
        <v>1</v>
      </c>
      <c r="K186" s="5">
        <v>230.01</v>
      </c>
      <c r="L186" t="s">
        <v>21</v>
      </c>
      <c r="M186">
        <v>2023</v>
      </c>
      <c r="N186">
        <f t="shared" si="2"/>
        <v>12</v>
      </c>
    </row>
    <row r="187" spans="1:14" x14ac:dyDescent="0.25">
      <c r="A187" t="s">
        <v>597</v>
      </c>
      <c r="B187" s="2">
        <v>45285</v>
      </c>
      <c r="C187" t="s">
        <v>111</v>
      </c>
      <c r="D187" t="s">
        <v>125</v>
      </c>
      <c r="E187" t="s">
        <v>126</v>
      </c>
      <c r="F187" t="s">
        <v>48</v>
      </c>
      <c r="G187" t="s">
        <v>49</v>
      </c>
      <c r="H187" t="s">
        <v>50</v>
      </c>
      <c r="I187" s="5">
        <v>1067.3699999999999</v>
      </c>
      <c r="J187" s="8">
        <v>5</v>
      </c>
      <c r="K187" s="5">
        <v>479.14</v>
      </c>
      <c r="L187" t="s">
        <v>21</v>
      </c>
      <c r="M187">
        <v>2023</v>
      </c>
      <c r="N187">
        <f t="shared" si="2"/>
        <v>12</v>
      </c>
    </row>
    <row r="188" spans="1:14" x14ac:dyDescent="0.25">
      <c r="A188" t="s">
        <v>679</v>
      </c>
      <c r="B188" s="2">
        <v>45285</v>
      </c>
      <c r="C188" t="s">
        <v>65</v>
      </c>
      <c r="D188" t="s">
        <v>16</v>
      </c>
      <c r="E188" t="s">
        <v>17</v>
      </c>
      <c r="F188" t="s">
        <v>48</v>
      </c>
      <c r="G188" t="s">
        <v>130</v>
      </c>
      <c r="H188" t="s">
        <v>131</v>
      </c>
      <c r="I188" s="5">
        <v>3059.4</v>
      </c>
      <c r="J188" s="8">
        <v>7</v>
      </c>
      <c r="K188" s="5">
        <v>1677.08</v>
      </c>
      <c r="L188" t="s">
        <v>29</v>
      </c>
      <c r="M188">
        <v>2023</v>
      </c>
      <c r="N188">
        <f t="shared" si="2"/>
        <v>12</v>
      </c>
    </row>
    <row r="189" spans="1:14" x14ac:dyDescent="0.25">
      <c r="A189" t="s">
        <v>296</v>
      </c>
      <c r="B189" s="2">
        <v>45286</v>
      </c>
      <c r="C189" t="s">
        <v>124</v>
      </c>
      <c r="D189" t="s">
        <v>66</v>
      </c>
      <c r="E189" t="s">
        <v>180</v>
      </c>
      <c r="F189" t="s">
        <v>18</v>
      </c>
      <c r="G189" t="s">
        <v>19</v>
      </c>
      <c r="H189" t="s">
        <v>72</v>
      </c>
      <c r="I189" s="5">
        <v>1216.48</v>
      </c>
      <c r="J189" s="8">
        <v>4</v>
      </c>
      <c r="K189" s="5">
        <v>631.48</v>
      </c>
      <c r="L189" t="s">
        <v>29</v>
      </c>
      <c r="M189">
        <v>2023</v>
      </c>
      <c r="N189">
        <f t="shared" si="2"/>
        <v>12</v>
      </c>
    </row>
    <row r="190" spans="1:14" x14ac:dyDescent="0.25">
      <c r="A190" t="s">
        <v>517</v>
      </c>
      <c r="B190" s="2">
        <v>45288</v>
      </c>
      <c r="C190" t="s">
        <v>62</v>
      </c>
      <c r="D190" t="s">
        <v>125</v>
      </c>
      <c r="E190" t="s">
        <v>146</v>
      </c>
      <c r="F190" t="s">
        <v>18</v>
      </c>
      <c r="G190" t="s">
        <v>54</v>
      </c>
      <c r="H190" t="s">
        <v>55</v>
      </c>
      <c r="I190" s="5">
        <v>672.97</v>
      </c>
      <c r="J190" s="8">
        <v>1</v>
      </c>
      <c r="K190" s="5">
        <v>359.14</v>
      </c>
      <c r="L190" t="s">
        <v>38</v>
      </c>
      <c r="M190">
        <v>2023</v>
      </c>
      <c r="N190">
        <f t="shared" si="2"/>
        <v>12</v>
      </c>
    </row>
    <row r="191" spans="1:14" x14ac:dyDescent="0.25">
      <c r="A191" t="s">
        <v>576</v>
      </c>
      <c r="B191" s="2">
        <v>45289</v>
      </c>
      <c r="C191" t="s">
        <v>133</v>
      </c>
      <c r="D191" t="s">
        <v>125</v>
      </c>
      <c r="E191" t="s">
        <v>141</v>
      </c>
      <c r="F191" t="s">
        <v>18</v>
      </c>
      <c r="G191" t="s">
        <v>54</v>
      </c>
      <c r="H191" t="s">
        <v>108</v>
      </c>
      <c r="I191" s="5">
        <v>286.99</v>
      </c>
      <c r="J191" s="8">
        <v>2</v>
      </c>
      <c r="K191" s="5">
        <v>98.79</v>
      </c>
      <c r="L191" t="s">
        <v>38</v>
      </c>
      <c r="M191">
        <v>2023</v>
      </c>
      <c r="N191">
        <f t="shared" si="2"/>
        <v>1</v>
      </c>
    </row>
    <row r="192" spans="1:14" x14ac:dyDescent="0.25">
      <c r="A192" t="s">
        <v>199</v>
      </c>
      <c r="B192" s="2">
        <v>45295</v>
      </c>
      <c r="C192" t="s">
        <v>46</v>
      </c>
      <c r="D192" t="s">
        <v>36</v>
      </c>
      <c r="E192" t="s">
        <v>37</v>
      </c>
      <c r="F192" t="s">
        <v>26</v>
      </c>
      <c r="G192" t="s">
        <v>27</v>
      </c>
      <c r="H192" t="s">
        <v>28</v>
      </c>
      <c r="I192" s="5">
        <v>1094.03</v>
      </c>
      <c r="J192" s="8">
        <v>7</v>
      </c>
      <c r="K192" s="5">
        <v>405.14</v>
      </c>
      <c r="L192" t="s">
        <v>21</v>
      </c>
      <c r="M192">
        <v>2024</v>
      </c>
      <c r="N192">
        <f t="shared" si="2"/>
        <v>1</v>
      </c>
    </row>
    <row r="193" spans="1:14" x14ac:dyDescent="0.25">
      <c r="A193" t="s">
        <v>590</v>
      </c>
      <c r="B193" s="2">
        <v>45295</v>
      </c>
      <c r="C193" t="s">
        <v>40</v>
      </c>
      <c r="D193" t="s">
        <v>66</v>
      </c>
      <c r="E193" t="s">
        <v>67</v>
      </c>
      <c r="F193" t="s">
        <v>18</v>
      </c>
      <c r="G193" t="s">
        <v>32</v>
      </c>
      <c r="H193" t="s">
        <v>33</v>
      </c>
      <c r="I193" s="5">
        <v>4089.02</v>
      </c>
      <c r="J193" s="8">
        <v>8</v>
      </c>
      <c r="K193" s="5">
        <v>2211.7600000000002</v>
      </c>
      <c r="L193" t="s">
        <v>29</v>
      </c>
      <c r="M193">
        <v>2024</v>
      </c>
      <c r="N193">
        <f t="shared" si="2"/>
        <v>1</v>
      </c>
    </row>
    <row r="194" spans="1:14" x14ac:dyDescent="0.25">
      <c r="A194" t="s">
        <v>243</v>
      </c>
      <c r="B194" s="2">
        <v>45297</v>
      </c>
      <c r="C194" t="s">
        <v>46</v>
      </c>
      <c r="D194" t="s">
        <v>36</v>
      </c>
      <c r="E194" t="s">
        <v>128</v>
      </c>
      <c r="F194" t="s">
        <v>26</v>
      </c>
      <c r="G194" t="s">
        <v>98</v>
      </c>
      <c r="H194" t="s">
        <v>99</v>
      </c>
      <c r="I194" s="5">
        <v>184.69</v>
      </c>
      <c r="J194" s="8">
        <v>3</v>
      </c>
      <c r="K194" s="5">
        <v>90.89</v>
      </c>
      <c r="L194" t="s">
        <v>29</v>
      </c>
      <c r="M194">
        <v>2024</v>
      </c>
      <c r="N194">
        <f t="shared" ref="N194:N257" si="3">MONTH(B195)</f>
        <v>1</v>
      </c>
    </row>
    <row r="195" spans="1:14" x14ac:dyDescent="0.25">
      <c r="A195" t="s">
        <v>446</v>
      </c>
      <c r="B195" s="2">
        <v>45298</v>
      </c>
      <c r="C195" t="s">
        <v>124</v>
      </c>
      <c r="D195" t="s">
        <v>24</v>
      </c>
      <c r="E195" t="s">
        <v>25</v>
      </c>
      <c r="F195" t="s">
        <v>26</v>
      </c>
      <c r="G195" t="s">
        <v>98</v>
      </c>
      <c r="H195" t="s">
        <v>176</v>
      </c>
      <c r="I195" s="5">
        <v>2625.07</v>
      </c>
      <c r="J195" s="8">
        <v>8</v>
      </c>
      <c r="K195" s="5">
        <v>551.72</v>
      </c>
      <c r="L195" t="s">
        <v>29</v>
      </c>
      <c r="M195">
        <v>2024</v>
      </c>
      <c r="N195">
        <f t="shared" si="3"/>
        <v>1</v>
      </c>
    </row>
    <row r="196" spans="1:14" x14ac:dyDescent="0.25">
      <c r="A196" t="s">
        <v>348</v>
      </c>
      <c r="B196" s="2">
        <v>45301</v>
      </c>
      <c r="C196" t="s">
        <v>120</v>
      </c>
      <c r="D196" t="s">
        <v>66</v>
      </c>
      <c r="E196" t="s">
        <v>271</v>
      </c>
      <c r="F196" t="s">
        <v>26</v>
      </c>
      <c r="G196" t="s">
        <v>27</v>
      </c>
      <c r="H196" t="s">
        <v>162</v>
      </c>
      <c r="I196" s="5">
        <v>119.66</v>
      </c>
      <c r="J196" s="8">
        <v>2</v>
      </c>
      <c r="K196" s="5">
        <v>22.42</v>
      </c>
      <c r="L196" t="s">
        <v>21</v>
      </c>
      <c r="M196">
        <v>2024</v>
      </c>
      <c r="N196">
        <f t="shared" si="3"/>
        <v>1</v>
      </c>
    </row>
    <row r="197" spans="1:14" x14ac:dyDescent="0.25">
      <c r="A197" t="s">
        <v>515</v>
      </c>
      <c r="B197" s="2">
        <v>45303</v>
      </c>
      <c r="C197" t="s">
        <v>23</v>
      </c>
      <c r="D197" t="s">
        <v>125</v>
      </c>
      <c r="E197" t="s">
        <v>126</v>
      </c>
      <c r="F197" t="s">
        <v>48</v>
      </c>
      <c r="G197" t="s">
        <v>68</v>
      </c>
      <c r="H197" t="s">
        <v>202</v>
      </c>
      <c r="I197" s="5">
        <v>3649.62</v>
      </c>
      <c r="J197" s="8">
        <v>6</v>
      </c>
      <c r="K197" s="5">
        <v>787.43</v>
      </c>
      <c r="L197" t="s">
        <v>38</v>
      </c>
      <c r="M197">
        <v>2024</v>
      </c>
      <c r="N197">
        <f t="shared" si="3"/>
        <v>1</v>
      </c>
    </row>
    <row r="198" spans="1:14" x14ac:dyDescent="0.25">
      <c r="A198" t="s">
        <v>696</v>
      </c>
      <c r="B198" s="2">
        <v>45313</v>
      </c>
      <c r="C198" t="s">
        <v>62</v>
      </c>
      <c r="D198" t="s">
        <v>79</v>
      </c>
      <c r="E198" t="s">
        <v>80</v>
      </c>
      <c r="F198" t="s">
        <v>18</v>
      </c>
      <c r="G198" t="s">
        <v>32</v>
      </c>
      <c r="H198" t="s">
        <v>33</v>
      </c>
      <c r="I198" s="5">
        <v>5615.13</v>
      </c>
      <c r="J198" s="8">
        <v>7</v>
      </c>
      <c r="K198" s="5">
        <v>1462.84</v>
      </c>
      <c r="L198" t="s">
        <v>21</v>
      </c>
      <c r="M198">
        <v>2024</v>
      </c>
      <c r="N198">
        <f t="shared" si="3"/>
        <v>1</v>
      </c>
    </row>
    <row r="199" spans="1:14" x14ac:dyDescent="0.25">
      <c r="A199" t="s">
        <v>212</v>
      </c>
      <c r="B199" s="2">
        <v>45315</v>
      </c>
      <c r="C199" t="s">
        <v>65</v>
      </c>
      <c r="D199" t="s">
        <v>74</v>
      </c>
      <c r="E199" t="s">
        <v>213</v>
      </c>
      <c r="F199" t="s">
        <v>48</v>
      </c>
      <c r="G199" t="s">
        <v>151</v>
      </c>
      <c r="H199" t="s">
        <v>152</v>
      </c>
      <c r="I199" s="5">
        <v>3853.05</v>
      </c>
      <c r="J199" s="8">
        <v>5</v>
      </c>
      <c r="K199" s="5">
        <v>859.64</v>
      </c>
      <c r="L199" t="s">
        <v>21</v>
      </c>
      <c r="M199">
        <v>2024</v>
      </c>
      <c r="N199">
        <f t="shared" si="3"/>
        <v>1</v>
      </c>
    </row>
    <row r="200" spans="1:14" x14ac:dyDescent="0.25">
      <c r="A200" t="s">
        <v>541</v>
      </c>
      <c r="B200" s="2">
        <v>45315</v>
      </c>
      <c r="C200" t="s">
        <v>46</v>
      </c>
      <c r="D200" t="s">
        <v>79</v>
      </c>
      <c r="E200" t="s">
        <v>149</v>
      </c>
      <c r="F200" t="s">
        <v>48</v>
      </c>
      <c r="G200" t="s">
        <v>68</v>
      </c>
      <c r="H200" t="s">
        <v>202</v>
      </c>
      <c r="I200" s="5">
        <v>381.2</v>
      </c>
      <c r="J200" s="8">
        <v>8</v>
      </c>
      <c r="K200" s="5">
        <v>81.260000000000005</v>
      </c>
      <c r="L200" t="s">
        <v>29</v>
      </c>
      <c r="M200">
        <v>2024</v>
      </c>
      <c r="N200">
        <f t="shared" si="3"/>
        <v>1</v>
      </c>
    </row>
    <row r="201" spans="1:14" x14ac:dyDescent="0.25">
      <c r="A201" t="s">
        <v>314</v>
      </c>
      <c r="B201" s="2">
        <v>45316</v>
      </c>
      <c r="C201" t="s">
        <v>62</v>
      </c>
      <c r="D201" t="s">
        <v>79</v>
      </c>
      <c r="E201" t="s">
        <v>80</v>
      </c>
      <c r="F201" t="s">
        <v>48</v>
      </c>
      <c r="G201" t="s">
        <v>49</v>
      </c>
      <c r="H201" t="s">
        <v>50</v>
      </c>
      <c r="I201" s="5">
        <v>1743.62</v>
      </c>
      <c r="J201" s="8">
        <v>4</v>
      </c>
      <c r="K201" s="5">
        <v>811</v>
      </c>
      <c r="L201" t="s">
        <v>21</v>
      </c>
      <c r="M201">
        <v>2024</v>
      </c>
      <c r="N201">
        <f t="shared" si="3"/>
        <v>1</v>
      </c>
    </row>
    <row r="202" spans="1:14" x14ac:dyDescent="0.25">
      <c r="A202" t="s">
        <v>510</v>
      </c>
      <c r="B202" s="2">
        <v>45316</v>
      </c>
      <c r="C202" t="s">
        <v>92</v>
      </c>
      <c r="D202" t="s">
        <v>79</v>
      </c>
      <c r="E202" t="s">
        <v>138</v>
      </c>
      <c r="F202" t="s">
        <v>48</v>
      </c>
      <c r="G202" t="s">
        <v>59</v>
      </c>
      <c r="H202" t="s">
        <v>60</v>
      </c>
      <c r="I202" s="5">
        <v>268.02999999999997</v>
      </c>
      <c r="J202" s="8">
        <v>3</v>
      </c>
      <c r="K202" s="5">
        <v>138.33000000000001</v>
      </c>
      <c r="L202" t="s">
        <v>38</v>
      </c>
      <c r="M202">
        <v>2024</v>
      </c>
      <c r="N202">
        <f t="shared" si="3"/>
        <v>1</v>
      </c>
    </row>
    <row r="203" spans="1:14" x14ac:dyDescent="0.25">
      <c r="A203" t="s">
        <v>295</v>
      </c>
      <c r="B203" s="2">
        <v>45321</v>
      </c>
      <c r="C203" t="s">
        <v>31</v>
      </c>
      <c r="D203" t="s">
        <v>74</v>
      </c>
      <c r="E203" t="s">
        <v>213</v>
      </c>
      <c r="F203" t="s">
        <v>48</v>
      </c>
      <c r="G203" t="s">
        <v>59</v>
      </c>
      <c r="H203" t="s">
        <v>60</v>
      </c>
      <c r="I203" s="5">
        <v>4501.55</v>
      </c>
      <c r="J203" s="8">
        <v>5</v>
      </c>
      <c r="K203" s="5">
        <v>1490.02</v>
      </c>
      <c r="L203" t="s">
        <v>21</v>
      </c>
      <c r="M203">
        <v>2024</v>
      </c>
      <c r="N203">
        <f t="shared" si="3"/>
        <v>1</v>
      </c>
    </row>
    <row r="204" spans="1:14" x14ac:dyDescent="0.25">
      <c r="A204" t="s">
        <v>540</v>
      </c>
      <c r="B204" s="2">
        <v>45322</v>
      </c>
      <c r="C204" t="s">
        <v>124</v>
      </c>
      <c r="D204" t="s">
        <v>66</v>
      </c>
      <c r="E204" t="s">
        <v>271</v>
      </c>
      <c r="F204" t="s">
        <v>26</v>
      </c>
      <c r="G204" t="s">
        <v>81</v>
      </c>
      <c r="H204" t="s">
        <v>82</v>
      </c>
      <c r="I204" s="5">
        <v>6361.06</v>
      </c>
      <c r="J204" s="8">
        <v>8</v>
      </c>
      <c r="K204" s="5">
        <v>2948.77</v>
      </c>
      <c r="L204" t="s">
        <v>21</v>
      </c>
      <c r="M204">
        <v>2024</v>
      </c>
      <c r="N204">
        <f t="shared" si="3"/>
        <v>1</v>
      </c>
    </row>
    <row r="205" spans="1:14" x14ac:dyDescent="0.25">
      <c r="A205" t="s">
        <v>575</v>
      </c>
      <c r="B205" s="2">
        <v>45322</v>
      </c>
      <c r="C205" t="s">
        <v>198</v>
      </c>
      <c r="D205" t="s">
        <v>66</v>
      </c>
      <c r="E205" t="s">
        <v>271</v>
      </c>
      <c r="F205" t="s">
        <v>48</v>
      </c>
      <c r="G205" t="s">
        <v>94</v>
      </c>
      <c r="H205" t="s">
        <v>95</v>
      </c>
      <c r="I205" s="5">
        <v>1989.99</v>
      </c>
      <c r="J205" s="8">
        <v>3</v>
      </c>
      <c r="K205" s="5">
        <v>547.04999999999995</v>
      </c>
      <c r="L205" t="s">
        <v>21</v>
      </c>
      <c r="M205">
        <v>2024</v>
      </c>
      <c r="N205">
        <f t="shared" si="3"/>
        <v>2</v>
      </c>
    </row>
    <row r="206" spans="1:14" x14ac:dyDescent="0.25">
      <c r="A206" t="s">
        <v>593</v>
      </c>
      <c r="B206" s="2">
        <v>45324</v>
      </c>
      <c r="C206" t="s">
        <v>31</v>
      </c>
      <c r="D206" t="s">
        <v>36</v>
      </c>
      <c r="E206" t="s">
        <v>37</v>
      </c>
      <c r="F206" t="s">
        <v>48</v>
      </c>
      <c r="G206" t="s">
        <v>130</v>
      </c>
      <c r="H206" t="s">
        <v>139</v>
      </c>
      <c r="I206" s="5">
        <v>1027.3</v>
      </c>
      <c r="J206" s="8">
        <v>3</v>
      </c>
      <c r="K206" s="5">
        <v>386.92</v>
      </c>
      <c r="L206" t="s">
        <v>21</v>
      </c>
      <c r="M206">
        <v>2024</v>
      </c>
      <c r="N206">
        <f t="shared" si="3"/>
        <v>2</v>
      </c>
    </row>
    <row r="207" spans="1:14" x14ac:dyDescent="0.25">
      <c r="A207" t="s">
        <v>350</v>
      </c>
      <c r="B207" s="2">
        <v>45326</v>
      </c>
      <c r="C207" t="s">
        <v>15</v>
      </c>
      <c r="D207" t="s">
        <v>41</v>
      </c>
      <c r="E207" t="s">
        <v>42</v>
      </c>
      <c r="F207" t="s">
        <v>48</v>
      </c>
      <c r="G207" t="s">
        <v>151</v>
      </c>
      <c r="H207" t="s">
        <v>152</v>
      </c>
      <c r="I207" s="5">
        <v>1578.99</v>
      </c>
      <c r="J207" s="8">
        <v>3</v>
      </c>
      <c r="K207" s="5">
        <v>824.12</v>
      </c>
      <c r="L207" t="s">
        <v>38</v>
      </c>
      <c r="M207">
        <v>2024</v>
      </c>
      <c r="N207">
        <f t="shared" si="3"/>
        <v>2</v>
      </c>
    </row>
    <row r="208" spans="1:14" x14ac:dyDescent="0.25">
      <c r="A208" t="s">
        <v>629</v>
      </c>
      <c r="B208" s="2">
        <v>45326</v>
      </c>
      <c r="C208" t="s">
        <v>31</v>
      </c>
      <c r="D208" t="s">
        <v>86</v>
      </c>
      <c r="E208" t="s">
        <v>116</v>
      </c>
      <c r="F208" t="s">
        <v>18</v>
      </c>
      <c r="G208" t="s">
        <v>32</v>
      </c>
      <c r="H208" t="s">
        <v>33</v>
      </c>
      <c r="I208" s="5">
        <v>475.08</v>
      </c>
      <c r="J208" s="8">
        <v>4</v>
      </c>
      <c r="K208" s="5">
        <v>255.74</v>
      </c>
      <c r="L208" t="s">
        <v>29</v>
      </c>
      <c r="M208">
        <v>2024</v>
      </c>
      <c r="N208">
        <f t="shared" si="3"/>
        <v>2</v>
      </c>
    </row>
    <row r="209" spans="1:14" x14ac:dyDescent="0.25">
      <c r="A209" t="s">
        <v>317</v>
      </c>
      <c r="B209" s="2">
        <v>45328</v>
      </c>
      <c r="C209" t="s">
        <v>40</v>
      </c>
      <c r="D209" t="s">
        <v>24</v>
      </c>
      <c r="E209" t="s">
        <v>103</v>
      </c>
      <c r="F209" t="s">
        <v>18</v>
      </c>
      <c r="G209" t="s">
        <v>32</v>
      </c>
      <c r="H209" t="s">
        <v>33</v>
      </c>
      <c r="I209" s="5">
        <v>692.43</v>
      </c>
      <c r="J209" s="8">
        <v>3</v>
      </c>
      <c r="K209" s="5">
        <v>172.34</v>
      </c>
      <c r="L209" t="s">
        <v>21</v>
      </c>
      <c r="M209">
        <v>2024</v>
      </c>
      <c r="N209">
        <f t="shared" si="3"/>
        <v>2</v>
      </c>
    </row>
    <row r="210" spans="1:14" x14ac:dyDescent="0.25">
      <c r="A210" t="s">
        <v>163</v>
      </c>
      <c r="B210" s="2">
        <v>45333</v>
      </c>
      <c r="C210" t="s">
        <v>78</v>
      </c>
      <c r="D210" t="s">
        <v>16</v>
      </c>
      <c r="E210" t="s">
        <v>71</v>
      </c>
      <c r="F210" t="s">
        <v>26</v>
      </c>
      <c r="G210" t="s">
        <v>81</v>
      </c>
      <c r="H210" t="s">
        <v>82</v>
      </c>
      <c r="I210" s="5">
        <v>1652.56</v>
      </c>
      <c r="J210" s="8">
        <v>7</v>
      </c>
      <c r="K210" s="5">
        <v>596.61</v>
      </c>
      <c r="L210" t="s">
        <v>21</v>
      </c>
      <c r="M210">
        <v>2024</v>
      </c>
      <c r="N210">
        <f t="shared" si="3"/>
        <v>2</v>
      </c>
    </row>
    <row r="211" spans="1:14" x14ac:dyDescent="0.25">
      <c r="A211" t="s">
        <v>22</v>
      </c>
      <c r="B211" s="2">
        <v>45334</v>
      </c>
      <c r="C211" t="s">
        <v>23</v>
      </c>
      <c r="D211" t="s">
        <v>24</v>
      </c>
      <c r="E211" t="s">
        <v>25</v>
      </c>
      <c r="F211" t="s">
        <v>26</v>
      </c>
      <c r="G211" t="s">
        <v>27</v>
      </c>
      <c r="H211" t="s">
        <v>28</v>
      </c>
      <c r="I211" s="5">
        <v>631.1</v>
      </c>
      <c r="J211" s="8">
        <v>1</v>
      </c>
      <c r="K211" s="5">
        <v>310.67</v>
      </c>
      <c r="L211" t="s">
        <v>29</v>
      </c>
      <c r="M211">
        <v>2024</v>
      </c>
      <c r="N211">
        <f t="shared" si="3"/>
        <v>2</v>
      </c>
    </row>
    <row r="212" spans="1:14" x14ac:dyDescent="0.25">
      <c r="A212" t="s">
        <v>379</v>
      </c>
      <c r="B212" s="2">
        <v>45337</v>
      </c>
      <c r="C212" t="s">
        <v>78</v>
      </c>
      <c r="D212" t="s">
        <v>36</v>
      </c>
      <c r="E212" t="s">
        <v>47</v>
      </c>
      <c r="F212" t="s">
        <v>18</v>
      </c>
      <c r="G212" t="s">
        <v>32</v>
      </c>
      <c r="H212" t="s">
        <v>147</v>
      </c>
      <c r="I212" s="5">
        <v>1321.54</v>
      </c>
      <c r="J212" s="8">
        <v>6</v>
      </c>
      <c r="K212" s="5">
        <v>286.95</v>
      </c>
      <c r="L212" t="s">
        <v>21</v>
      </c>
      <c r="M212">
        <v>2024</v>
      </c>
      <c r="N212">
        <f t="shared" si="3"/>
        <v>2</v>
      </c>
    </row>
    <row r="213" spans="1:14" x14ac:dyDescent="0.25">
      <c r="A213" t="s">
        <v>458</v>
      </c>
      <c r="B213" s="2">
        <v>45338</v>
      </c>
      <c r="C213" t="s">
        <v>133</v>
      </c>
      <c r="D213" t="s">
        <v>66</v>
      </c>
      <c r="E213" t="s">
        <v>271</v>
      </c>
      <c r="F213" t="s">
        <v>18</v>
      </c>
      <c r="G213" t="s">
        <v>19</v>
      </c>
      <c r="H213" t="s">
        <v>72</v>
      </c>
      <c r="I213" s="5">
        <v>2245.52</v>
      </c>
      <c r="J213" s="8">
        <v>4</v>
      </c>
      <c r="K213" s="5">
        <v>590.69000000000005</v>
      </c>
      <c r="L213" t="s">
        <v>21</v>
      </c>
      <c r="M213">
        <v>2024</v>
      </c>
      <c r="N213">
        <f t="shared" si="3"/>
        <v>2</v>
      </c>
    </row>
    <row r="214" spans="1:14" x14ac:dyDescent="0.25">
      <c r="A214" t="s">
        <v>255</v>
      </c>
      <c r="B214" s="2">
        <v>45339</v>
      </c>
      <c r="C214" t="s">
        <v>92</v>
      </c>
      <c r="D214" t="s">
        <v>66</v>
      </c>
      <c r="E214" t="s">
        <v>180</v>
      </c>
      <c r="F214" t="s">
        <v>18</v>
      </c>
      <c r="G214" t="s">
        <v>32</v>
      </c>
      <c r="H214" t="s">
        <v>147</v>
      </c>
      <c r="I214" s="5">
        <v>190.05</v>
      </c>
      <c r="J214" s="8">
        <v>5</v>
      </c>
      <c r="K214" s="5">
        <v>103.45</v>
      </c>
      <c r="L214" t="s">
        <v>21</v>
      </c>
      <c r="M214">
        <v>2024</v>
      </c>
      <c r="N214">
        <f t="shared" si="3"/>
        <v>2</v>
      </c>
    </row>
    <row r="215" spans="1:14" x14ac:dyDescent="0.25">
      <c r="A215" t="s">
        <v>381</v>
      </c>
      <c r="B215" s="2">
        <v>45347</v>
      </c>
      <c r="C215" t="s">
        <v>40</v>
      </c>
      <c r="D215" t="s">
        <v>36</v>
      </c>
      <c r="E215" t="s">
        <v>47</v>
      </c>
      <c r="F215" t="s">
        <v>18</v>
      </c>
      <c r="G215" t="s">
        <v>32</v>
      </c>
      <c r="H215" t="s">
        <v>33</v>
      </c>
      <c r="I215" s="5">
        <v>1593.41</v>
      </c>
      <c r="J215" s="8">
        <v>2</v>
      </c>
      <c r="K215" s="5">
        <v>325.91000000000003</v>
      </c>
      <c r="L215" t="s">
        <v>29</v>
      </c>
      <c r="M215">
        <v>2024</v>
      </c>
      <c r="N215">
        <f t="shared" si="3"/>
        <v>2</v>
      </c>
    </row>
    <row r="216" spans="1:14" x14ac:dyDescent="0.25">
      <c r="A216" t="s">
        <v>471</v>
      </c>
      <c r="B216" s="2">
        <v>45348</v>
      </c>
      <c r="C216" t="s">
        <v>23</v>
      </c>
      <c r="D216" t="s">
        <v>16</v>
      </c>
      <c r="E216" t="s">
        <v>17</v>
      </c>
      <c r="F216" t="s">
        <v>18</v>
      </c>
      <c r="G216" t="s">
        <v>54</v>
      </c>
      <c r="H216" t="s">
        <v>55</v>
      </c>
      <c r="I216" s="5">
        <v>1382.49</v>
      </c>
      <c r="J216" s="8">
        <v>2</v>
      </c>
      <c r="K216" s="5">
        <v>277.27999999999997</v>
      </c>
      <c r="L216" t="s">
        <v>29</v>
      </c>
      <c r="M216">
        <v>2024</v>
      </c>
      <c r="N216">
        <f t="shared" si="3"/>
        <v>2</v>
      </c>
    </row>
    <row r="217" spans="1:14" x14ac:dyDescent="0.25">
      <c r="A217" t="s">
        <v>307</v>
      </c>
      <c r="B217" s="2">
        <v>45349</v>
      </c>
      <c r="C217" t="s">
        <v>114</v>
      </c>
      <c r="D217" t="s">
        <v>16</v>
      </c>
      <c r="E217" t="s">
        <v>17</v>
      </c>
      <c r="F217" t="s">
        <v>18</v>
      </c>
      <c r="G217" t="s">
        <v>32</v>
      </c>
      <c r="H217" t="s">
        <v>147</v>
      </c>
      <c r="I217" s="5">
        <v>3145.72</v>
      </c>
      <c r="J217" s="8">
        <v>4</v>
      </c>
      <c r="K217" s="5">
        <v>1085.51</v>
      </c>
      <c r="L217" t="s">
        <v>21</v>
      </c>
      <c r="M217">
        <v>2024</v>
      </c>
      <c r="N217">
        <f t="shared" si="3"/>
        <v>3</v>
      </c>
    </row>
    <row r="218" spans="1:14" x14ac:dyDescent="0.25">
      <c r="A218" t="s">
        <v>418</v>
      </c>
      <c r="B218" s="2">
        <v>45359</v>
      </c>
      <c r="C218" t="s">
        <v>62</v>
      </c>
      <c r="D218" t="s">
        <v>52</v>
      </c>
      <c r="E218" t="s">
        <v>144</v>
      </c>
      <c r="F218" t="s">
        <v>18</v>
      </c>
      <c r="G218" t="s">
        <v>43</v>
      </c>
      <c r="H218" t="s">
        <v>44</v>
      </c>
      <c r="I218" s="5">
        <v>4263.1899999999996</v>
      </c>
      <c r="J218" s="8">
        <v>8</v>
      </c>
      <c r="K218" s="5">
        <v>1175.19</v>
      </c>
      <c r="L218" t="s">
        <v>38</v>
      </c>
      <c r="M218">
        <v>2024</v>
      </c>
      <c r="N218">
        <f t="shared" si="3"/>
        <v>3</v>
      </c>
    </row>
    <row r="219" spans="1:14" x14ac:dyDescent="0.25">
      <c r="A219" t="s">
        <v>167</v>
      </c>
      <c r="B219" s="2">
        <v>45361</v>
      </c>
      <c r="C219" t="s">
        <v>57</v>
      </c>
      <c r="D219" t="s">
        <v>36</v>
      </c>
      <c r="E219" t="s">
        <v>47</v>
      </c>
      <c r="F219" t="s">
        <v>48</v>
      </c>
      <c r="G219" t="s">
        <v>49</v>
      </c>
      <c r="H219" t="s">
        <v>50</v>
      </c>
      <c r="I219" s="5">
        <v>541.98</v>
      </c>
      <c r="J219" s="8">
        <v>8</v>
      </c>
      <c r="K219" s="5">
        <v>105.09</v>
      </c>
      <c r="L219" t="s">
        <v>21</v>
      </c>
      <c r="M219">
        <v>2024</v>
      </c>
      <c r="N219">
        <f t="shared" si="3"/>
        <v>3</v>
      </c>
    </row>
    <row r="220" spans="1:14" x14ac:dyDescent="0.25">
      <c r="A220" t="s">
        <v>713</v>
      </c>
      <c r="B220" s="2">
        <v>45363</v>
      </c>
      <c r="C220" t="s">
        <v>57</v>
      </c>
      <c r="D220" t="s">
        <v>74</v>
      </c>
      <c r="E220" t="s">
        <v>75</v>
      </c>
      <c r="F220" t="s">
        <v>26</v>
      </c>
      <c r="G220" t="s">
        <v>27</v>
      </c>
      <c r="H220" t="s">
        <v>28</v>
      </c>
      <c r="I220" s="5">
        <v>5201.97</v>
      </c>
      <c r="J220" s="8">
        <v>8</v>
      </c>
      <c r="K220" s="5">
        <v>1857.85</v>
      </c>
      <c r="L220" t="s">
        <v>38</v>
      </c>
      <c r="M220">
        <v>2024</v>
      </c>
      <c r="N220">
        <f t="shared" si="3"/>
        <v>3</v>
      </c>
    </row>
    <row r="221" spans="1:14" x14ac:dyDescent="0.25">
      <c r="A221" t="s">
        <v>422</v>
      </c>
      <c r="B221" s="2">
        <v>45365</v>
      </c>
      <c r="C221" t="s">
        <v>40</v>
      </c>
      <c r="D221" t="s">
        <v>16</v>
      </c>
      <c r="E221" t="s">
        <v>190</v>
      </c>
      <c r="F221" t="s">
        <v>26</v>
      </c>
      <c r="G221" t="s">
        <v>98</v>
      </c>
      <c r="H221" t="s">
        <v>99</v>
      </c>
      <c r="I221" s="5">
        <v>2069.7800000000002</v>
      </c>
      <c r="J221" s="8">
        <v>3</v>
      </c>
      <c r="K221" s="5">
        <v>560.47</v>
      </c>
      <c r="L221" t="s">
        <v>21</v>
      </c>
      <c r="M221">
        <v>2024</v>
      </c>
      <c r="N221">
        <f t="shared" si="3"/>
        <v>3</v>
      </c>
    </row>
    <row r="222" spans="1:14" x14ac:dyDescent="0.25">
      <c r="A222" t="s">
        <v>720</v>
      </c>
      <c r="B222" s="2">
        <v>45365</v>
      </c>
      <c r="C222" t="s">
        <v>65</v>
      </c>
      <c r="D222" t="s">
        <v>125</v>
      </c>
      <c r="E222" t="s">
        <v>126</v>
      </c>
      <c r="F222" t="s">
        <v>26</v>
      </c>
      <c r="G222" t="s">
        <v>27</v>
      </c>
      <c r="H222" t="s">
        <v>101</v>
      </c>
      <c r="I222" s="5">
        <v>1497.61</v>
      </c>
      <c r="J222" s="8">
        <v>3</v>
      </c>
      <c r="K222" s="5">
        <v>485.49</v>
      </c>
      <c r="L222" t="s">
        <v>21</v>
      </c>
      <c r="M222">
        <v>2024</v>
      </c>
      <c r="N222">
        <f t="shared" si="3"/>
        <v>3</v>
      </c>
    </row>
    <row r="223" spans="1:14" x14ac:dyDescent="0.25">
      <c r="A223" t="s">
        <v>677</v>
      </c>
      <c r="B223" s="2">
        <v>45368</v>
      </c>
      <c r="C223" t="s">
        <v>23</v>
      </c>
      <c r="D223" t="s">
        <v>86</v>
      </c>
      <c r="E223" t="s">
        <v>87</v>
      </c>
      <c r="F223" t="s">
        <v>48</v>
      </c>
      <c r="G223" t="s">
        <v>49</v>
      </c>
      <c r="H223" t="s">
        <v>158</v>
      </c>
      <c r="I223" s="5">
        <v>182.84</v>
      </c>
      <c r="J223" s="8">
        <v>2</v>
      </c>
      <c r="K223" s="5">
        <v>66.25</v>
      </c>
      <c r="L223" t="s">
        <v>38</v>
      </c>
      <c r="M223">
        <v>2024</v>
      </c>
      <c r="N223">
        <f t="shared" si="3"/>
        <v>3</v>
      </c>
    </row>
    <row r="224" spans="1:14" x14ac:dyDescent="0.25">
      <c r="A224" t="s">
        <v>492</v>
      </c>
      <c r="B224" s="2">
        <v>45370</v>
      </c>
      <c r="C224" t="s">
        <v>133</v>
      </c>
      <c r="D224" t="s">
        <v>41</v>
      </c>
      <c r="E224" t="s">
        <v>58</v>
      </c>
      <c r="F224" t="s">
        <v>18</v>
      </c>
      <c r="G224" t="s">
        <v>43</v>
      </c>
      <c r="H224" t="s">
        <v>76</v>
      </c>
      <c r="I224" s="5">
        <v>265.81</v>
      </c>
      <c r="J224" s="8">
        <v>2</v>
      </c>
      <c r="K224" s="5">
        <v>57.68</v>
      </c>
      <c r="L224" t="s">
        <v>38</v>
      </c>
      <c r="M224">
        <v>2024</v>
      </c>
      <c r="N224">
        <f t="shared" si="3"/>
        <v>3</v>
      </c>
    </row>
    <row r="225" spans="1:14" x14ac:dyDescent="0.25">
      <c r="A225" t="s">
        <v>656</v>
      </c>
      <c r="B225" s="2">
        <v>45370</v>
      </c>
      <c r="C225" t="s">
        <v>62</v>
      </c>
      <c r="D225" t="s">
        <v>41</v>
      </c>
      <c r="E225" t="s">
        <v>58</v>
      </c>
      <c r="F225" t="s">
        <v>26</v>
      </c>
      <c r="G225" t="s">
        <v>89</v>
      </c>
      <c r="H225" t="s">
        <v>265</v>
      </c>
      <c r="I225" s="5">
        <v>2494.7199999999998</v>
      </c>
      <c r="J225" s="8">
        <v>8</v>
      </c>
      <c r="K225" s="5">
        <v>1206.24</v>
      </c>
      <c r="L225" t="s">
        <v>29</v>
      </c>
      <c r="M225">
        <v>2024</v>
      </c>
      <c r="N225">
        <f t="shared" si="3"/>
        <v>3</v>
      </c>
    </row>
    <row r="226" spans="1:14" x14ac:dyDescent="0.25">
      <c r="A226" t="s">
        <v>211</v>
      </c>
      <c r="B226" s="2">
        <v>45371</v>
      </c>
      <c r="C226" t="s">
        <v>65</v>
      </c>
      <c r="D226" t="s">
        <v>79</v>
      </c>
      <c r="E226" t="s">
        <v>149</v>
      </c>
      <c r="F226" t="s">
        <v>48</v>
      </c>
      <c r="G226" t="s">
        <v>49</v>
      </c>
      <c r="H226" t="s">
        <v>50</v>
      </c>
      <c r="I226" s="5">
        <v>264.98</v>
      </c>
      <c r="J226" s="8">
        <v>6</v>
      </c>
      <c r="K226" s="5">
        <v>53.53</v>
      </c>
      <c r="L226" t="s">
        <v>38</v>
      </c>
      <c r="M226">
        <v>2024</v>
      </c>
      <c r="N226">
        <f t="shared" si="3"/>
        <v>3</v>
      </c>
    </row>
    <row r="227" spans="1:14" x14ac:dyDescent="0.25">
      <c r="A227" t="s">
        <v>308</v>
      </c>
      <c r="B227" s="2">
        <v>45371</v>
      </c>
      <c r="C227" t="s">
        <v>120</v>
      </c>
      <c r="D227" t="s">
        <v>125</v>
      </c>
      <c r="E227" t="s">
        <v>141</v>
      </c>
      <c r="F227" t="s">
        <v>26</v>
      </c>
      <c r="G227" t="s">
        <v>98</v>
      </c>
      <c r="H227" t="s">
        <v>176</v>
      </c>
      <c r="I227" s="5">
        <v>3610.63</v>
      </c>
      <c r="J227" s="8">
        <v>4</v>
      </c>
      <c r="K227" s="5">
        <v>1763.79</v>
      </c>
      <c r="L227" t="s">
        <v>21</v>
      </c>
      <c r="M227">
        <v>2024</v>
      </c>
      <c r="N227">
        <f t="shared" si="3"/>
        <v>3</v>
      </c>
    </row>
    <row r="228" spans="1:14" x14ac:dyDescent="0.25">
      <c r="A228" t="s">
        <v>303</v>
      </c>
      <c r="B228" s="2">
        <v>45373</v>
      </c>
      <c r="C228" t="s">
        <v>35</v>
      </c>
      <c r="D228" t="s">
        <v>86</v>
      </c>
      <c r="E228" t="s">
        <v>116</v>
      </c>
      <c r="F228" t="s">
        <v>26</v>
      </c>
      <c r="G228" t="s">
        <v>98</v>
      </c>
      <c r="H228" t="s">
        <v>176</v>
      </c>
      <c r="I228" s="5">
        <v>361.13</v>
      </c>
      <c r="J228" s="8">
        <v>1</v>
      </c>
      <c r="K228" s="5">
        <v>187.55</v>
      </c>
      <c r="L228" t="s">
        <v>29</v>
      </c>
      <c r="M228">
        <v>2024</v>
      </c>
      <c r="N228">
        <f t="shared" si="3"/>
        <v>3</v>
      </c>
    </row>
    <row r="229" spans="1:14" x14ac:dyDescent="0.25">
      <c r="A229" t="s">
        <v>424</v>
      </c>
      <c r="B229" s="2">
        <v>45373</v>
      </c>
      <c r="C229" t="s">
        <v>137</v>
      </c>
      <c r="D229" t="s">
        <v>86</v>
      </c>
      <c r="E229" t="s">
        <v>87</v>
      </c>
      <c r="F229" t="s">
        <v>48</v>
      </c>
      <c r="G229" t="s">
        <v>49</v>
      </c>
      <c r="H229" t="s">
        <v>158</v>
      </c>
      <c r="I229" s="5">
        <v>3624.12</v>
      </c>
      <c r="J229" s="8">
        <v>5</v>
      </c>
      <c r="K229" s="5">
        <v>1460.53</v>
      </c>
      <c r="L229" t="s">
        <v>38</v>
      </c>
      <c r="M229">
        <v>2024</v>
      </c>
      <c r="N229">
        <f t="shared" si="3"/>
        <v>3</v>
      </c>
    </row>
    <row r="230" spans="1:14" x14ac:dyDescent="0.25">
      <c r="A230" t="s">
        <v>300</v>
      </c>
      <c r="B230" s="2">
        <v>45374</v>
      </c>
      <c r="C230" t="s">
        <v>133</v>
      </c>
      <c r="D230" t="s">
        <v>79</v>
      </c>
      <c r="E230" t="s">
        <v>149</v>
      </c>
      <c r="F230" t="s">
        <v>18</v>
      </c>
      <c r="G230" t="s">
        <v>19</v>
      </c>
      <c r="H230" t="s">
        <v>72</v>
      </c>
      <c r="I230" s="5">
        <v>3933.58</v>
      </c>
      <c r="J230" s="8">
        <v>8</v>
      </c>
      <c r="K230" s="5">
        <v>1990.54</v>
      </c>
      <c r="L230" t="s">
        <v>21</v>
      </c>
      <c r="M230">
        <v>2024</v>
      </c>
      <c r="N230">
        <f t="shared" si="3"/>
        <v>3</v>
      </c>
    </row>
    <row r="231" spans="1:14" x14ac:dyDescent="0.25">
      <c r="A231" t="s">
        <v>204</v>
      </c>
      <c r="B231" s="2">
        <v>45375</v>
      </c>
      <c r="C231" t="s">
        <v>133</v>
      </c>
      <c r="D231" t="s">
        <v>41</v>
      </c>
      <c r="E231" t="s">
        <v>58</v>
      </c>
      <c r="F231" t="s">
        <v>48</v>
      </c>
      <c r="G231" t="s">
        <v>49</v>
      </c>
      <c r="H231" t="s">
        <v>50</v>
      </c>
      <c r="I231" s="5">
        <v>1610.23</v>
      </c>
      <c r="J231" s="8">
        <v>6</v>
      </c>
      <c r="K231" s="5">
        <v>582.48</v>
      </c>
      <c r="L231" t="s">
        <v>21</v>
      </c>
      <c r="M231">
        <v>2024</v>
      </c>
      <c r="N231">
        <f t="shared" si="3"/>
        <v>3</v>
      </c>
    </row>
    <row r="232" spans="1:14" x14ac:dyDescent="0.25">
      <c r="A232" t="s">
        <v>394</v>
      </c>
      <c r="B232" s="2">
        <v>45376</v>
      </c>
      <c r="C232" t="s">
        <v>124</v>
      </c>
      <c r="D232" t="s">
        <v>66</v>
      </c>
      <c r="E232" t="s">
        <v>180</v>
      </c>
      <c r="F232" t="s">
        <v>26</v>
      </c>
      <c r="G232" t="s">
        <v>27</v>
      </c>
      <c r="H232" t="s">
        <v>162</v>
      </c>
      <c r="I232" s="5">
        <v>113.86</v>
      </c>
      <c r="J232" s="8">
        <v>1</v>
      </c>
      <c r="K232" s="5">
        <v>30.28</v>
      </c>
      <c r="L232" t="s">
        <v>29</v>
      </c>
      <c r="M232">
        <v>2024</v>
      </c>
      <c r="N232">
        <f t="shared" si="3"/>
        <v>3</v>
      </c>
    </row>
    <row r="233" spans="1:14" x14ac:dyDescent="0.25">
      <c r="A233" t="s">
        <v>228</v>
      </c>
      <c r="B233" s="2">
        <v>45378</v>
      </c>
      <c r="C233" t="s">
        <v>133</v>
      </c>
      <c r="D233" t="s">
        <v>16</v>
      </c>
      <c r="E233" t="s">
        <v>190</v>
      </c>
      <c r="F233" t="s">
        <v>18</v>
      </c>
      <c r="G233" t="s">
        <v>32</v>
      </c>
      <c r="H233" t="s">
        <v>33</v>
      </c>
      <c r="I233" s="5">
        <v>305.42</v>
      </c>
      <c r="J233" s="8">
        <v>1</v>
      </c>
      <c r="K233" s="5">
        <v>67.41</v>
      </c>
      <c r="L233" t="s">
        <v>38</v>
      </c>
      <c r="M233">
        <v>2024</v>
      </c>
      <c r="N233">
        <f t="shared" si="3"/>
        <v>3</v>
      </c>
    </row>
    <row r="234" spans="1:14" x14ac:dyDescent="0.25">
      <c r="A234" t="s">
        <v>400</v>
      </c>
      <c r="B234" s="2">
        <v>45379</v>
      </c>
      <c r="C234" t="s">
        <v>114</v>
      </c>
      <c r="D234" t="s">
        <v>41</v>
      </c>
      <c r="E234" t="s">
        <v>63</v>
      </c>
      <c r="F234" t="s">
        <v>18</v>
      </c>
      <c r="G234" t="s">
        <v>43</v>
      </c>
      <c r="H234" t="s">
        <v>44</v>
      </c>
      <c r="I234" s="5">
        <v>63.3</v>
      </c>
      <c r="J234" s="8">
        <v>6</v>
      </c>
      <c r="K234" s="5">
        <v>20.86</v>
      </c>
      <c r="L234" t="s">
        <v>29</v>
      </c>
      <c r="M234">
        <v>2024</v>
      </c>
      <c r="N234">
        <f t="shared" si="3"/>
        <v>3</v>
      </c>
    </row>
    <row r="235" spans="1:14" x14ac:dyDescent="0.25">
      <c r="A235" t="s">
        <v>546</v>
      </c>
      <c r="B235" s="2">
        <v>45379</v>
      </c>
      <c r="C235" t="s">
        <v>35</v>
      </c>
      <c r="D235" t="s">
        <v>79</v>
      </c>
      <c r="E235" t="s">
        <v>149</v>
      </c>
      <c r="F235" t="s">
        <v>18</v>
      </c>
      <c r="G235" t="s">
        <v>19</v>
      </c>
      <c r="H235" t="s">
        <v>20</v>
      </c>
      <c r="I235" s="5">
        <v>2286.2800000000002</v>
      </c>
      <c r="J235" s="8">
        <v>6</v>
      </c>
      <c r="K235" s="5">
        <v>420.68</v>
      </c>
      <c r="L235" t="s">
        <v>29</v>
      </c>
      <c r="M235">
        <v>2024</v>
      </c>
      <c r="N235">
        <f t="shared" si="3"/>
        <v>3</v>
      </c>
    </row>
    <row r="236" spans="1:14" x14ac:dyDescent="0.25">
      <c r="A236" t="s">
        <v>467</v>
      </c>
      <c r="B236" s="2">
        <v>45380</v>
      </c>
      <c r="C236" t="s">
        <v>31</v>
      </c>
      <c r="D236" t="s">
        <v>52</v>
      </c>
      <c r="E236" t="s">
        <v>144</v>
      </c>
      <c r="F236" t="s">
        <v>18</v>
      </c>
      <c r="G236" t="s">
        <v>32</v>
      </c>
      <c r="H236" t="s">
        <v>147</v>
      </c>
      <c r="I236" s="5">
        <v>3268.69</v>
      </c>
      <c r="J236" s="8">
        <v>6</v>
      </c>
      <c r="K236" s="5">
        <v>1078.1199999999999</v>
      </c>
      <c r="L236" t="s">
        <v>21</v>
      </c>
      <c r="M236">
        <v>2024</v>
      </c>
      <c r="N236">
        <f t="shared" si="3"/>
        <v>3</v>
      </c>
    </row>
    <row r="237" spans="1:14" x14ac:dyDescent="0.25">
      <c r="A237" t="s">
        <v>340</v>
      </c>
      <c r="B237" s="2">
        <v>45381</v>
      </c>
      <c r="C237" t="s">
        <v>84</v>
      </c>
      <c r="D237" t="s">
        <v>36</v>
      </c>
      <c r="E237" t="s">
        <v>37</v>
      </c>
      <c r="F237" t="s">
        <v>26</v>
      </c>
      <c r="G237" t="s">
        <v>89</v>
      </c>
      <c r="H237" t="s">
        <v>90</v>
      </c>
      <c r="I237" s="5">
        <v>2902.42</v>
      </c>
      <c r="J237" s="8">
        <v>5</v>
      </c>
      <c r="K237" s="5">
        <v>731.8</v>
      </c>
      <c r="L237" t="s">
        <v>29</v>
      </c>
      <c r="M237">
        <v>2024</v>
      </c>
      <c r="N237">
        <f t="shared" si="3"/>
        <v>4</v>
      </c>
    </row>
    <row r="238" spans="1:14" x14ac:dyDescent="0.25">
      <c r="A238" t="s">
        <v>463</v>
      </c>
      <c r="B238" s="2">
        <v>45388</v>
      </c>
      <c r="C238" t="s">
        <v>78</v>
      </c>
      <c r="D238" t="s">
        <v>74</v>
      </c>
      <c r="E238" t="s">
        <v>75</v>
      </c>
      <c r="F238" t="s">
        <v>26</v>
      </c>
      <c r="G238" t="s">
        <v>81</v>
      </c>
      <c r="H238" t="s">
        <v>112</v>
      </c>
      <c r="I238" s="5">
        <v>1683.46</v>
      </c>
      <c r="J238" s="8">
        <v>8</v>
      </c>
      <c r="K238" s="5">
        <v>597.91</v>
      </c>
      <c r="L238" t="s">
        <v>21</v>
      </c>
      <c r="M238">
        <v>2024</v>
      </c>
      <c r="N238">
        <f t="shared" si="3"/>
        <v>4</v>
      </c>
    </row>
    <row r="239" spans="1:14" x14ac:dyDescent="0.25">
      <c r="A239" t="s">
        <v>663</v>
      </c>
      <c r="B239" s="2">
        <v>45388</v>
      </c>
      <c r="C239" t="s">
        <v>111</v>
      </c>
      <c r="D239" t="s">
        <v>66</v>
      </c>
      <c r="E239" t="s">
        <v>271</v>
      </c>
      <c r="F239" t="s">
        <v>26</v>
      </c>
      <c r="G239" t="s">
        <v>89</v>
      </c>
      <c r="H239" t="s">
        <v>265</v>
      </c>
      <c r="I239" s="5">
        <v>1879.95</v>
      </c>
      <c r="J239" s="8">
        <v>4</v>
      </c>
      <c r="K239" s="5">
        <v>624.67999999999995</v>
      </c>
      <c r="L239" t="s">
        <v>21</v>
      </c>
      <c r="M239">
        <v>2024</v>
      </c>
      <c r="N239">
        <f t="shared" si="3"/>
        <v>4</v>
      </c>
    </row>
    <row r="240" spans="1:14" x14ac:dyDescent="0.25">
      <c r="A240" t="s">
        <v>242</v>
      </c>
      <c r="B240" s="2">
        <v>45390</v>
      </c>
      <c r="C240" t="s">
        <v>120</v>
      </c>
      <c r="D240" t="s">
        <v>86</v>
      </c>
      <c r="E240" t="s">
        <v>118</v>
      </c>
      <c r="F240" t="s">
        <v>26</v>
      </c>
      <c r="G240" t="s">
        <v>81</v>
      </c>
      <c r="H240" t="s">
        <v>82</v>
      </c>
      <c r="I240" s="5">
        <v>3181.96</v>
      </c>
      <c r="J240" s="8">
        <v>4</v>
      </c>
      <c r="K240" s="5">
        <v>939.49</v>
      </c>
      <c r="L240" t="s">
        <v>21</v>
      </c>
      <c r="M240">
        <v>2024</v>
      </c>
      <c r="N240">
        <f t="shared" si="3"/>
        <v>4</v>
      </c>
    </row>
    <row r="241" spans="1:14" x14ac:dyDescent="0.25">
      <c r="A241" t="s">
        <v>527</v>
      </c>
      <c r="B241" s="2">
        <v>45392</v>
      </c>
      <c r="C241" t="s">
        <v>65</v>
      </c>
      <c r="D241" t="s">
        <v>74</v>
      </c>
      <c r="E241" t="s">
        <v>213</v>
      </c>
      <c r="F241" t="s">
        <v>18</v>
      </c>
      <c r="G241" t="s">
        <v>19</v>
      </c>
      <c r="H241" t="s">
        <v>72</v>
      </c>
      <c r="I241" s="5">
        <v>4973.26</v>
      </c>
      <c r="J241" s="8">
        <v>8</v>
      </c>
      <c r="K241" s="5">
        <v>1681.97</v>
      </c>
      <c r="L241" t="s">
        <v>21</v>
      </c>
      <c r="M241">
        <v>2024</v>
      </c>
      <c r="N241">
        <f t="shared" si="3"/>
        <v>4</v>
      </c>
    </row>
    <row r="242" spans="1:14" x14ac:dyDescent="0.25">
      <c r="A242" t="s">
        <v>220</v>
      </c>
      <c r="B242" s="2">
        <v>45394</v>
      </c>
      <c r="C242" t="s">
        <v>31</v>
      </c>
      <c r="D242" t="s">
        <v>16</v>
      </c>
      <c r="E242" t="s">
        <v>71</v>
      </c>
      <c r="F242" t="s">
        <v>18</v>
      </c>
      <c r="G242" t="s">
        <v>54</v>
      </c>
      <c r="H242" t="s">
        <v>55</v>
      </c>
      <c r="I242" s="5">
        <v>582.75</v>
      </c>
      <c r="J242" s="8">
        <v>8</v>
      </c>
      <c r="K242" s="5">
        <v>187.91</v>
      </c>
      <c r="L242" t="s">
        <v>38</v>
      </c>
      <c r="M242">
        <v>2024</v>
      </c>
      <c r="N242">
        <f t="shared" si="3"/>
        <v>4</v>
      </c>
    </row>
    <row r="243" spans="1:14" x14ac:dyDescent="0.25">
      <c r="A243" t="s">
        <v>516</v>
      </c>
      <c r="B243" s="2">
        <v>45395</v>
      </c>
      <c r="C243" t="s">
        <v>57</v>
      </c>
      <c r="D243" t="s">
        <v>36</v>
      </c>
      <c r="E243" t="s">
        <v>37</v>
      </c>
      <c r="F243" t="s">
        <v>48</v>
      </c>
      <c r="G243" t="s">
        <v>94</v>
      </c>
      <c r="H243" t="s">
        <v>95</v>
      </c>
      <c r="I243" s="5">
        <v>1758.91</v>
      </c>
      <c r="J243" s="8">
        <v>3</v>
      </c>
      <c r="K243" s="5">
        <v>324.63</v>
      </c>
      <c r="L243" t="s">
        <v>21</v>
      </c>
      <c r="M243">
        <v>2024</v>
      </c>
      <c r="N243">
        <f t="shared" si="3"/>
        <v>4</v>
      </c>
    </row>
    <row r="244" spans="1:14" x14ac:dyDescent="0.25">
      <c r="A244" t="s">
        <v>51</v>
      </c>
      <c r="B244" s="2">
        <v>45396</v>
      </c>
      <c r="C244" t="s">
        <v>31</v>
      </c>
      <c r="D244" t="s">
        <v>52</v>
      </c>
      <c r="E244" t="s">
        <v>53</v>
      </c>
      <c r="F244" t="s">
        <v>18</v>
      </c>
      <c r="G244" t="s">
        <v>54</v>
      </c>
      <c r="H244" t="s">
        <v>55</v>
      </c>
      <c r="I244" s="5">
        <v>235.68</v>
      </c>
      <c r="J244" s="8">
        <v>1</v>
      </c>
      <c r="K244" s="5">
        <v>129.01</v>
      </c>
      <c r="L244" t="s">
        <v>21</v>
      </c>
      <c r="M244">
        <v>2024</v>
      </c>
      <c r="N244">
        <f t="shared" si="3"/>
        <v>4</v>
      </c>
    </row>
    <row r="245" spans="1:14" x14ac:dyDescent="0.25">
      <c r="A245" t="s">
        <v>306</v>
      </c>
      <c r="B245" s="2">
        <v>45397</v>
      </c>
      <c r="C245" t="s">
        <v>65</v>
      </c>
      <c r="D245" t="s">
        <v>24</v>
      </c>
      <c r="E245" t="s">
        <v>25</v>
      </c>
      <c r="F245" t="s">
        <v>48</v>
      </c>
      <c r="G245" t="s">
        <v>94</v>
      </c>
      <c r="H245" t="s">
        <v>104</v>
      </c>
      <c r="I245" s="5">
        <v>4745.78</v>
      </c>
      <c r="J245" s="8">
        <v>7</v>
      </c>
      <c r="K245" s="5">
        <v>986.56</v>
      </c>
      <c r="L245" t="s">
        <v>21</v>
      </c>
      <c r="M245">
        <v>2024</v>
      </c>
      <c r="N245">
        <f t="shared" si="3"/>
        <v>4</v>
      </c>
    </row>
    <row r="246" spans="1:14" x14ac:dyDescent="0.25">
      <c r="A246" t="s">
        <v>344</v>
      </c>
      <c r="B246" s="2">
        <v>45401</v>
      </c>
      <c r="C246" t="s">
        <v>46</v>
      </c>
      <c r="D246" t="s">
        <v>74</v>
      </c>
      <c r="E246" t="s">
        <v>75</v>
      </c>
      <c r="F246" t="s">
        <v>48</v>
      </c>
      <c r="G246" t="s">
        <v>68</v>
      </c>
      <c r="H246" t="s">
        <v>202</v>
      </c>
      <c r="I246" s="5">
        <v>4189.5200000000004</v>
      </c>
      <c r="J246" s="8">
        <v>8</v>
      </c>
      <c r="K246" s="5">
        <v>1089.48</v>
      </c>
      <c r="L246" t="s">
        <v>38</v>
      </c>
      <c r="M246">
        <v>2024</v>
      </c>
      <c r="N246">
        <f t="shared" si="3"/>
        <v>4</v>
      </c>
    </row>
    <row r="247" spans="1:14" x14ac:dyDescent="0.25">
      <c r="A247" t="s">
        <v>293</v>
      </c>
      <c r="B247" s="2">
        <v>45402</v>
      </c>
      <c r="C247" t="s">
        <v>198</v>
      </c>
      <c r="D247" t="s">
        <v>86</v>
      </c>
      <c r="E247" t="s">
        <v>87</v>
      </c>
      <c r="F247" t="s">
        <v>48</v>
      </c>
      <c r="G247" t="s">
        <v>130</v>
      </c>
      <c r="H247" t="s">
        <v>139</v>
      </c>
      <c r="I247" s="5">
        <v>167.05</v>
      </c>
      <c r="J247" s="8">
        <v>2</v>
      </c>
      <c r="K247" s="5">
        <v>55.95</v>
      </c>
      <c r="L247" t="s">
        <v>29</v>
      </c>
      <c r="M247">
        <v>2024</v>
      </c>
      <c r="N247">
        <f t="shared" si="3"/>
        <v>4</v>
      </c>
    </row>
    <row r="248" spans="1:14" x14ac:dyDescent="0.25">
      <c r="A248" t="s">
        <v>533</v>
      </c>
      <c r="B248" s="2">
        <v>45403</v>
      </c>
      <c r="C248" t="s">
        <v>120</v>
      </c>
      <c r="D248" t="s">
        <v>16</v>
      </c>
      <c r="E248" t="s">
        <v>190</v>
      </c>
      <c r="F248" t="s">
        <v>48</v>
      </c>
      <c r="G248" t="s">
        <v>59</v>
      </c>
      <c r="H248" t="s">
        <v>60</v>
      </c>
      <c r="I248" s="5">
        <v>847.97</v>
      </c>
      <c r="J248" s="8">
        <v>1</v>
      </c>
      <c r="K248" s="5">
        <v>444.41</v>
      </c>
      <c r="L248" t="s">
        <v>21</v>
      </c>
      <c r="M248">
        <v>2024</v>
      </c>
      <c r="N248">
        <f t="shared" si="3"/>
        <v>4</v>
      </c>
    </row>
    <row r="249" spans="1:14" x14ac:dyDescent="0.25">
      <c r="A249" t="s">
        <v>208</v>
      </c>
      <c r="B249" s="2">
        <v>45405</v>
      </c>
      <c r="C249" t="s">
        <v>160</v>
      </c>
      <c r="D249" t="s">
        <v>86</v>
      </c>
      <c r="E249" t="s">
        <v>116</v>
      </c>
      <c r="F249" t="s">
        <v>48</v>
      </c>
      <c r="G249" t="s">
        <v>130</v>
      </c>
      <c r="H249" t="s">
        <v>131</v>
      </c>
      <c r="I249" s="5">
        <v>866.66</v>
      </c>
      <c r="J249" s="8">
        <v>2</v>
      </c>
      <c r="K249" s="5">
        <v>262.16000000000003</v>
      </c>
      <c r="L249" t="s">
        <v>38</v>
      </c>
      <c r="M249">
        <v>2024</v>
      </c>
      <c r="N249">
        <f t="shared" si="3"/>
        <v>4</v>
      </c>
    </row>
    <row r="250" spans="1:14" x14ac:dyDescent="0.25">
      <c r="A250" t="s">
        <v>568</v>
      </c>
      <c r="B250" s="2">
        <v>45410</v>
      </c>
      <c r="C250" t="s">
        <v>57</v>
      </c>
      <c r="D250" t="s">
        <v>24</v>
      </c>
      <c r="E250" t="s">
        <v>103</v>
      </c>
      <c r="F250" t="s">
        <v>18</v>
      </c>
      <c r="G250" t="s">
        <v>19</v>
      </c>
      <c r="H250" t="s">
        <v>72</v>
      </c>
      <c r="I250" s="5">
        <v>4111.75</v>
      </c>
      <c r="J250" s="8">
        <v>5</v>
      </c>
      <c r="K250" s="5">
        <v>924.76</v>
      </c>
      <c r="L250" t="s">
        <v>29</v>
      </c>
      <c r="M250">
        <v>2024</v>
      </c>
      <c r="N250">
        <f t="shared" si="3"/>
        <v>4</v>
      </c>
    </row>
    <row r="251" spans="1:14" x14ac:dyDescent="0.25">
      <c r="A251" t="s">
        <v>383</v>
      </c>
      <c r="B251" s="2">
        <v>45411</v>
      </c>
      <c r="C251" t="s">
        <v>57</v>
      </c>
      <c r="D251" t="s">
        <v>52</v>
      </c>
      <c r="E251" t="s">
        <v>107</v>
      </c>
      <c r="F251" t="s">
        <v>18</v>
      </c>
      <c r="G251" t="s">
        <v>43</v>
      </c>
      <c r="H251" t="s">
        <v>76</v>
      </c>
      <c r="I251" s="5">
        <v>647.16</v>
      </c>
      <c r="J251" s="8">
        <v>3</v>
      </c>
      <c r="K251" s="5">
        <v>152.21</v>
      </c>
      <c r="L251" t="s">
        <v>21</v>
      </c>
      <c r="M251">
        <v>2024</v>
      </c>
      <c r="N251">
        <f t="shared" si="3"/>
        <v>5</v>
      </c>
    </row>
    <row r="252" spans="1:14" x14ac:dyDescent="0.25">
      <c r="A252" t="s">
        <v>250</v>
      </c>
      <c r="B252" s="2">
        <v>45415</v>
      </c>
      <c r="C252" t="s">
        <v>133</v>
      </c>
      <c r="D252" t="s">
        <v>16</v>
      </c>
      <c r="E252" t="s">
        <v>190</v>
      </c>
      <c r="F252" t="s">
        <v>26</v>
      </c>
      <c r="G252" t="s">
        <v>81</v>
      </c>
      <c r="H252" t="s">
        <v>112</v>
      </c>
      <c r="I252" s="5">
        <v>77.36</v>
      </c>
      <c r="J252" s="8">
        <v>1</v>
      </c>
      <c r="K252" s="5">
        <v>18.059999999999999</v>
      </c>
      <c r="L252" t="s">
        <v>38</v>
      </c>
      <c r="M252">
        <v>2024</v>
      </c>
      <c r="N252">
        <f t="shared" si="3"/>
        <v>5</v>
      </c>
    </row>
    <row r="253" spans="1:14" x14ac:dyDescent="0.25">
      <c r="A253" t="s">
        <v>484</v>
      </c>
      <c r="B253" s="2">
        <v>45416</v>
      </c>
      <c r="C253" t="s">
        <v>46</v>
      </c>
      <c r="D253" t="s">
        <v>74</v>
      </c>
      <c r="E253" t="s">
        <v>213</v>
      </c>
      <c r="F253" t="s">
        <v>26</v>
      </c>
      <c r="G253" t="s">
        <v>98</v>
      </c>
      <c r="H253" t="s">
        <v>176</v>
      </c>
      <c r="I253" s="5">
        <v>490.74</v>
      </c>
      <c r="J253" s="8">
        <v>1</v>
      </c>
      <c r="K253" s="5">
        <v>171.56</v>
      </c>
      <c r="L253" t="s">
        <v>29</v>
      </c>
      <c r="M253">
        <v>2024</v>
      </c>
      <c r="N253">
        <f t="shared" si="3"/>
        <v>5</v>
      </c>
    </row>
    <row r="254" spans="1:14" x14ac:dyDescent="0.25">
      <c r="A254" t="s">
        <v>543</v>
      </c>
      <c r="B254" s="2">
        <v>45416</v>
      </c>
      <c r="C254" t="s">
        <v>35</v>
      </c>
      <c r="D254" t="s">
        <v>74</v>
      </c>
      <c r="E254" t="s">
        <v>97</v>
      </c>
      <c r="F254" t="s">
        <v>18</v>
      </c>
      <c r="G254" t="s">
        <v>54</v>
      </c>
      <c r="H254" t="s">
        <v>108</v>
      </c>
      <c r="I254" s="5">
        <v>3500.44</v>
      </c>
      <c r="J254" s="8">
        <v>6</v>
      </c>
      <c r="K254" s="5">
        <v>686.53</v>
      </c>
      <c r="L254" t="s">
        <v>21</v>
      </c>
      <c r="M254">
        <v>2024</v>
      </c>
      <c r="N254">
        <f t="shared" si="3"/>
        <v>5</v>
      </c>
    </row>
    <row r="255" spans="1:14" x14ac:dyDescent="0.25">
      <c r="A255" t="s">
        <v>311</v>
      </c>
      <c r="B255" s="2">
        <v>45420</v>
      </c>
      <c r="C255" t="s">
        <v>137</v>
      </c>
      <c r="D255" t="s">
        <v>52</v>
      </c>
      <c r="E255" t="s">
        <v>107</v>
      </c>
      <c r="F255" t="s">
        <v>48</v>
      </c>
      <c r="G255" t="s">
        <v>94</v>
      </c>
      <c r="H255" t="s">
        <v>95</v>
      </c>
      <c r="I255" s="5">
        <v>5337.86</v>
      </c>
      <c r="J255" s="8">
        <v>8</v>
      </c>
      <c r="K255" s="5">
        <v>2380.92</v>
      </c>
      <c r="L255" t="s">
        <v>21</v>
      </c>
      <c r="M255">
        <v>2024</v>
      </c>
      <c r="N255">
        <f t="shared" si="3"/>
        <v>5</v>
      </c>
    </row>
    <row r="256" spans="1:14" x14ac:dyDescent="0.25">
      <c r="A256" t="s">
        <v>291</v>
      </c>
      <c r="B256" s="2">
        <v>45423</v>
      </c>
      <c r="C256" t="s">
        <v>84</v>
      </c>
      <c r="D256" t="s">
        <v>74</v>
      </c>
      <c r="E256" t="s">
        <v>213</v>
      </c>
      <c r="F256" t="s">
        <v>48</v>
      </c>
      <c r="G256" t="s">
        <v>59</v>
      </c>
      <c r="H256" t="s">
        <v>142</v>
      </c>
      <c r="I256" s="5">
        <v>2619.7800000000002</v>
      </c>
      <c r="J256" s="8">
        <v>4</v>
      </c>
      <c r="K256" s="5">
        <v>1056.4000000000001</v>
      </c>
      <c r="L256" t="s">
        <v>21</v>
      </c>
      <c r="M256">
        <v>2024</v>
      </c>
      <c r="N256">
        <f t="shared" si="3"/>
        <v>5</v>
      </c>
    </row>
    <row r="257" spans="1:14" x14ac:dyDescent="0.25">
      <c r="A257" t="s">
        <v>312</v>
      </c>
      <c r="B257" s="2">
        <v>45424</v>
      </c>
      <c r="C257" t="s">
        <v>92</v>
      </c>
      <c r="D257" t="s">
        <v>74</v>
      </c>
      <c r="E257" t="s">
        <v>97</v>
      </c>
      <c r="F257" t="s">
        <v>48</v>
      </c>
      <c r="G257" t="s">
        <v>68</v>
      </c>
      <c r="H257" t="s">
        <v>69</v>
      </c>
      <c r="I257" s="5">
        <v>5058.42</v>
      </c>
      <c r="J257" s="8">
        <v>7</v>
      </c>
      <c r="K257" s="5">
        <v>1929.32</v>
      </c>
      <c r="L257" t="s">
        <v>21</v>
      </c>
      <c r="M257">
        <v>2024</v>
      </c>
      <c r="N257">
        <f t="shared" si="3"/>
        <v>5</v>
      </c>
    </row>
    <row r="258" spans="1:14" x14ac:dyDescent="0.25">
      <c r="A258" t="s">
        <v>169</v>
      </c>
      <c r="B258" s="2">
        <v>45425</v>
      </c>
      <c r="C258" t="s">
        <v>78</v>
      </c>
      <c r="D258" t="s">
        <v>79</v>
      </c>
      <c r="E258" t="s">
        <v>80</v>
      </c>
      <c r="F258" t="s">
        <v>26</v>
      </c>
      <c r="G258" t="s">
        <v>81</v>
      </c>
      <c r="H258" t="s">
        <v>112</v>
      </c>
      <c r="I258" s="5">
        <v>1032.5</v>
      </c>
      <c r="J258" s="8">
        <v>7</v>
      </c>
      <c r="K258" s="5">
        <v>465.96</v>
      </c>
      <c r="L258" t="s">
        <v>21</v>
      </c>
      <c r="M258">
        <v>2024</v>
      </c>
      <c r="N258">
        <f t="shared" ref="N258:N321" si="4">MONTH(B259)</f>
        <v>5</v>
      </c>
    </row>
    <row r="259" spans="1:14" x14ac:dyDescent="0.25">
      <c r="A259" t="s">
        <v>375</v>
      </c>
      <c r="B259" s="2">
        <v>45427</v>
      </c>
      <c r="C259" t="s">
        <v>62</v>
      </c>
      <c r="D259" t="s">
        <v>125</v>
      </c>
      <c r="E259" t="s">
        <v>141</v>
      </c>
      <c r="F259" t="s">
        <v>18</v>
      </c>
      <c r="G259" t="s">
        <v>43</v>
      </c>
      <c r="H259" t="s">
        <v>44</v>
      </c>
      <c r="I259" s="5">
        <v>606.80999999999995</v>
      </c>
      <c r="J259" s="8">
        <v>1</v>
      </c>
      <c r="K259" s="5">
        <v>314.23</v>
      </c>
      <c r="L259" t="s">
        <v>21</v>
      </c>
      <c r="M259">
        <v>2024</v>
      </c>
      <c r="N259">
        <f t="shared" si="4"/>
        <v>5</v>
      </c>
    </row>
    <row r="260" spans="1:14" x14ac:dyDescent="0.25">
      <c r="A260" t="s">
        <v>159</v>
      </c>
      <c r="B260" s="2">
        <v>45433</v>
      </c>
      <c r="C260" t="s">
        <v>160</v>
      </c>
      <c r="D260" t="s">
        <v>36</v>
      </c>
      <c r="E260" t="s">
        <v>47</v>
      </c>
      <c r="F260" t="s">
        <v>18</v>
      </c>
      <c r="G260" t="s">
        <v>43</v>
      </c>
      <c r="H260" t="s">
        <v>44</v>
      </c>
      <c r="I260" s="5">
        <v>862.23</v>
      </c>
      <c r="J260" s="8">
        <v>1</v>
      </c>
      <c r="K260" s="5">
        <v>401.51</v>
      </c>
      <c r="L260" t="s">
        <v>21</v>
      </c>
      <c r="M260">
        <v>2024</v>
      </c>
      <c r="N260">
        <f t="shared" si="4"/>
        <v>5</v>
      </c>
    </row>
    <row r="261" spans="1:14" x14ac:dyDescent="0.25">
      <c r="A261" t="s">
        <v>356</v>
      </c>
      <c r="B261" s="2">
        <v>45433</v>
      </c>
      <c r="C261" t="s">
        <v>62</v>
      </c>
      <c r="D261" t="s">
        <v>66</v>
      </c>
      <c r="E261" t="s">
        <v>67</v>
      </c>
      <c r="F261" t="s">
        <v>26</v>
      </c>
      <c r="G261" t="s">
        <v>27</v>
      </c>
      <c r="H261" t="s">
        <v>101</v>
      </c>
      <c r="I261" s="5">
        <v>1379.19</v>
      </c>
      <c r="J261" s="8">
        <v>6</v>
      </c>
      <c r="K261" s="5">
        <v>742.32</v>
      </c>
      <c r="L261" t="s">
        <v>38</v>
      </c>
      <c r="M261">
        <v>2024</v>
      </c>
      <c r="N261">
        <f t="shared" si="4"/>
        <v>5</v>
      </c>
    </row>
    <row r="262" spans="1:14" x14ac:dyDescent="0.25">
      <c r="A262" t="s">
        <v>567</v>
      </c>
      <c r="B262" s="2">
        <v>45433</v>
      </c>
      <c r="C262" t="s">
        <v>137</v>
      </c>
      <c r="D262" t="s">
        <v>66</v>
      </c>
      <c r="E262" t="s">
        <v>180</v>
      </c>
      <c r="F262" t="s">
        <v>18</v>
      </c>
      <c r="G262" t="s">
        <v>32</v>
      </c>
      <c r="H262" t="s">
        <v>147</v>
      </c>
      <c r="I262" s="5">
        <v>535.26</v>
      </c>
      <c r="J262" s="8">
        <v>1</v>
      </c>
      <c r="K262" s="5">
        <v>186.7</v>
      </c>
      <c r="L262" t="s">
        <v>29</v>
      </c>
      <c r="M262">
        <v>2024</v>
      </c>
      <c r="N262">
        <f t="shared" si="4"/>
        <v>5</v>
      </c>
    </row>
    <row r="263" spans="1:14" x14ac:dyDescent="0.25">
      <c r="A263" t="s">
        <v>238</v>
      </c>
      <c r="B263" s="2">
        <v>45434</v>
      </c>
      <c r="C263" t="s">
        <v>65</v>
      </c>
      <c r="D263" t="s">
        <v>16</v>
      </c>
      <c r="E263" t="s">
        <v>190</v>
      </c>
      <c r="F263" t="s">
        <v>18</v>
      </c>
      <c r="G263" t="s">
        <v>43</v>
      </c>
      <c r="H263" t="s">
        <v>44</v>
      </c>
      <c r="I263" s="5">
        <v>117.58</v>
      </c>
      <c r="J263" s="8">
        <v>1</v>
      </c>
      <c r="K263" s="5">
        <v>22.49</v>
      </c>
      <c r="L263" t="s">
        <v>38</v>
      </c>
      <c r="M263">
        <v>2024</v>
      </c>
      <c r="N263">
        <f t="shared" si="4"/>
        <v>5</v>
      </c>
    </row>
    <row r="264" spans="1:14" x14ac:dyDescent="0.25">
      <c r="A264" t="s">
        <v>339</v>
      </c>
      <c r="B264" s="2">
        <v>45435</v>
      </c>
      <c r="C264" t="s">
        <v>46</v>
      </c>
      <c r="D264" t="s">
        <v>74</v>
      </c>
      <c r="E264" t="s">
        <v>75</v>
      </c>
      <c r="F264" t="s">
        <v>48</v>
      </c>
      <c r="G264" t="s">
        <v>130</v>
      </c>
      <c r="H264" t="s">
        <v>139</v>
      </c>
      <c r="I264" s="5">
        <v>690.3</v>
      </c>
      <c r="J264" s="8">
        <v>2</v>
      </c>
      <c r="K264" s="5">
        <v>186.79</v>
      </c>
      <c r="L264" t="s">
        <v>21</v>
      </c>
      <c r="M264">
        <v>2024</v>
      </c>
      <c r="N264">
        <f t="shared" si="4"/>
        <v>5</v>
      </c>
    </row>
    <row r="265" spans="1:14" x14ac:dyDescent="0.25">
      <c r="A265" t="s">
        <v>376</v>
      </c>
      <c r="B265" s="2">
        <v>45435</v>
      </c>
      <c r="C265" t="s">
        <v>31</v>
      </c>
      <c r="D265" t="s">
        <v>24</v>
      </c>
      <c r="E265" t="s">
        <v>377</v>
      </c>
      <c r="F265" t="s">
        <v>18</v>
      </c>
      <c r="G265" t="s">
        <v>32</v>
      </c>
      <c r="H265" t="s">
        <v>147</v>
      </c>
      <c r="I265" s="5">
        <v>3022.03</v>
      </c>
      <c r="J265" s="8">
        <v>6</v>
      </c>
      <c r="K265" s="5">
        <v>1038.48</v>
      </c>
      <c r="L265" t="s">
        <v>38</v>
      </c>
      <c r="M265">
        <v>2024</v>
      </c>
      <c r="N265">
        <f t="shared" si="4"/>
        <v>5</v>
      </c>
    </row>
    <row r="266" spans="1:14" x14ac:dyDescent="0.25">
      <c r="A266" t="s">
        <v>457</v>
      </c>
      <c r="B266" s="2">
        <v>45435</v>
      </c>
      <c r="C266" t="s">
        <v>124</v>
      </c>
      <c r="D266" t="s">
        <v>41</v>
      </c>
      <c r="E266" t="s">
        <v>58</v>
      </c>
      <c r="F266" t="s">
        <v>48</v>
      </c>
      <c r="G266" t="s">
        <v>68</v>
      </c>
      <c r="H266" t="s">
        <v>202</v>
      </c>
      <c r="I266" s="5">
        <v>237.61</v>
      </c>
      <c r="J266" s="8">
        <v>7</v>
      </c>
      <c r="K266" s="5">
        <v>57.14</v>
      </c>
      <c r="L266" t="s">
        <v>21</v>
      </c>
      <c r="M266">
        <v>2024</v>
      </c>
      <c r="N266">
        <f t="shared" si="4"/>
        <v>5</v>
      </c>
    </row>
    <row r="267" spans="1:14" x14ac:dyDescent="0.25">
      <c r="A267" t="s">
        <v>387</v>
      </c>
      <c r="B267" s="2">
        <v>45438</v>
      </c>
      <c r="C267" t="s">
        <v>65</v>
      </c>
      <c r="D267" t="s">
        <v>86</v>
      </c>
      <c r="E267" t="s">
        <v>87</v>
      </c>
      <c r="F267" t="s">
        <v>26</v>
      </c>
      <c r="G267" t="s">
        <v>89</v>
      </c>
      <c r="H267" t="s">
        <v>265</v>
      </c>
      <c r="I267" s="5">
        <v>890.15</v>
      </c>
      <c r="J267" s="8">
        <v>8</v>
      </c>
      <c r="K267" s="5">
        <v>299.87</v>
      </c>
      <c r="L267" t="s">
        <v>21</v>
      </c>
      <c r="M267">
        <v>2024</v>
      </c>
      <c r="N267">
        <f t="shared" si="4"/>
        <v>5</v>
      </c>
    </row>
    <row r="268" spans="1:14" x14ac:dyDescent="0.25">
      <c r="A268" t="s">
        <v>183</v>
      </c>
      <c r="B268" s="2">
        <v>45439</v>
      </c>
      <c r="C268" t="s">
        <v>35</v>
      </c>
      <c r="D268" t="s">
        <v>79</v>
      </c>
      <c r="E268" t="s">
        <v>80</v>
      </c>
      <c r="F268" t="s">
        <v>18</v>
      </c>
      <c r="G268" t="s">
        <v>43</v>
      </c>
      <c r="H268" t="s">
        <v>76</v>
      </c>
      <c r="I268" s="5">
        <v>2795.22</v>
      </c>
      <c r="J268" s="8">
        <v>6</v>
      </c>
      <c r="K268" s="5">
        <v>1176.77</v>
      </c>
      <c r="L268" t="s">
        <v>21</v>
      </c>
      <c r="M268">
        <v>2024</v>
      </c>
      <c r="N268">
        <f t="shared" si="4"/>
        <v>5</v>
      </c>
    </row>
    <row r="269" spans="1:14" x14ac:dyDescent="0.25">
      <c r="A269" t="s">
        <v>201</v>
      </c>
      <c r="B269" s="2">
        <v>45439</v>
      </c>
      <c r="C269" t="s">
        <v>137</v>
      </c>
      <c r="D269" t="s">
        <v>16</v>
      </c>
      <c r="E269" t="s">
        <v>190</v>
      </c>
      <c r="F269" t="s">
        <v>48</v>
      </c>
      <c r="G269" t="s">
        <v>68</v>
      </c>
      <c r="H269" t="s">
        <v>202</v>
      </c>
      <c r="I269" s="5">
        <v>4752.09</v>
      </c>
      <c r="J269" s="8">
        <v>7</v>
      </c>
      <c r="K269" s="5">
        <v>1745.25</v>
      </c>
      <c r="L269" t="s">
        <v>38</v>
      </c>
      <c r="M269">
        <v>2024</v>
      </c>
      <c r="N269">
        <f t="shared" si="4"/>
        <v>5</v>
      </c>
    </row>
    <row r="270" spans="1:14" x14ac:dyDescent="0.25">
      <c r="A270" t="s">
        <v>215</v>
      </c>
      <c r="B270" s="2">
        <v>45440</v>
      </c>
      <c r="C270" t="s">
        <v>114</v>
      </c>
      <c r="D270" t="s">
        <v>66</v>
      </c>
      <c r="E270" t="s">
        <v>67</v>
      </c>
      <c r="F270" t="s">
        <v>26</v>
      </c>
      <c r="G270" t="s">
        <v>81</v>
      </c>
      <c r="H270" t="s">
        <v>112</v>
      </c>
      <c r="I270" s="5">
        <v>1048.94</v>
      </c>
      <c r="J270" s="8">
        <v>3</v>
      </c>
      <c r="K270" s="5">
        <v>354.81</v>
      </c>
      <c r="L270" t="s">
        <v>21</v>
      </c>
      <c r="M270">
        <v>2024</v>
      </c>
      <c r="N270">
        <f t="shared" si="4"/>
        <v>5</v>
      </c>
    </row>
    <row r="271" spans="1:14" x14ac:dyDescent="0.25">
      <c r="A271" t="s">
        <v>523</v>
      </c>
      <c r="B271" s="2">
        <v>45442</v>
      </c>
      <c r="C271" t="s">
        <v>92</v>
      </c>
      <c r="D271" t="s">
        <v>52</v>
      </c>
      <c r="E271" t="s">
        <v>107</v>
      </c>
      <c r="F271" t="s">
        <v>26</v>
      </c>
      <c r="G271" t="s">
        <v>89</v>
      </c>
      <c r="H271" t="s">
        <v>90</v>
      </c>
      <c r="I271" s="5">
        <v>3149.99</v>
      </c>
      <c r="J271" s="8">
        <v>4</v>
      </c>
      <c r="K271" s="5">
        <v>1123.5999999999999</v>
      </c>
      <c r="L271" t="s">
        <v>21</v>
      </c>
      <c r="M271">
        <v>2024</v>
      </c>
      <c r="N271">
        <f t="shared" si="4"/>
        <v>6</v>
      </c>
    </row>
    <row r="272" spans="1:14" x14ac:dyDescent="0.25">
      <c r="A272" t="s">
        <v>690</v>
      </c>
      <c r="B272" s="2">
        <v>45445</v>
      </c>
      <c r="C272" t="s">
        <v>35</v>
      </c>
      <c r="D272" t="s">
        <v>125</v>
      </c>
      <c r="E272" t="s">
        <v>146</v>
      </c>
      <c r="F272" t="s">
        <v>26</v>
      </c>
      <c r="G272" t="s">
        <v>89</v>
      </c>
      <c r="H272" t="s">
        <v>265</v>
      </c>
      <c r="I272" s="5">
        <v>1644.92</v>
      </c>
      <c r="J272" s="8">
        <v>2</v>
      </c>
      <c r="K272" s="5">
        <v>886.21</v>
      </c>
      <c r="L272" t="s">
        <v>21</v>
      </c>
      <c r="M272">
        <v>2024</v>
      </c>
      <c r="N272">
        <f t="shared" si="4"/>
        <v>6</v>
      </c>
    </row>
    <row r="273" spans="1:14" x14ac:dyDescent="0.25">
      <c r="A273" t="s">
        <v>722</v>
      </c>
      <c r="B273" s="2">
        <v>45445</v>
      </c>
      <c r="C273" t="s">
        <v>124</v>
      </c>
      <c r="D273" t="s">
        <v>36</v>
      </c>
      <c r="E273" t="s">
        <v>37</v>
      </c>
      <c r="F273" t="s">
        <v>26</v>
      </c>
      <c r="G273" t="s">
        <v>89</v>
      </c>
      <c r="H273" t="s">
        <v>90</v>
      </c>
      <c r="I273" s="5">
        <v>2506.98</v>
      </c>
      <c r="J273" s="8">
        <v>4</v>
      </c>
      <c r="K273" s="5">
        <v>1210.81</v>
      </c>
      <c r="L273" t="s">
        <v>29</v>
      </c>
      <c r="M273">
        <v>2024</v>
      </c>
      <c r="N273">
        <f t="shared" si="4"/>
        <v>6</v>
      </c>
    </row>
    <row r="274" spans="1:14" x14ac:dyDescent="0.25">
      <c r="A274" t="s">
        <v>469</v>
      </c>
      <c r="B274" s="2">
        <v>45452</v>
      </c>
      <c r="C274" t="s">
        <v>137</v>
      </c>
      <c r="D274" t="s">
        <v>24</v>
      </c>
      <c r="E274" t="s">
        <v>377</v>
      </c>
      <c r="F274" t="s">
        <v>48</v>
      </c>
      <c r="G274" t="s">
        <v>94</v>
      </c>
      <c r="H274" t="s">
        <v>95</v>
      </c>
      <c r="I274" s="5">
        <v>3270.17</v>
      </c>
      <c r="J274" s="8">
        <v>7</v>
      </c>
      <c r="K274" s="5">
        <v>926.44</v>
      </c>
      <c r="L274" t="s">
        <v>29</v>
      </c>
      <c r="M274">
        <v>2024</v>
      </c>
      <c r="N274">
        <f t="shared" si="4"/>
        <v>6</v>
      </c>
    </row>
    <row r="275" spans="1:14" x14ac:dyDescent="0.25">
      <c r="A275" t="s">
        <v>206</v>
      </c>
      <c r="B275" s="2">
        <v>45453</v>
      </c>
      <c r="C275" t="s">
        <v>137</v>
      </c>
      <c r="D275" t="s">
        <v>66</v>
      </c>
      <c r="E275" t="s">
        <v>67</v>
      </c>
      <c r="F275" t="s">
        <v>48</v>
      </c>
      <c r="G275" t="s">
        <v>68</v>
      </c>
      <c r="H275" t="s">
        <v>202</v>
      </c>
      <c r="I275" s="5">
        <v>2357.6799999999998</v>
      </c>
      <c r="J275" s="8">
        <v>3</v>
      </c>
      <c r="K275" s="5">
        <v>872.12</v>
      </c>
      <c r="L275" t="s">
        <v>38</v>
      </c>
      <c r="M275">
        <v>2024</v>
      </c>
      <c r="N275">
        <f t="shared" si="4"/>
        <v>6</v>
      </c>
    </row>
    <row r="276" spans="1:14" x14ac:dyDescent="0.25">
      <c r="A276" t="s">
        <v>519</v>
      </c>
      <c r="B276" s="2">
        <v>45454</v>
      </c>
      <c r="C276" t="s">
        <v>160</v>
      </c>
      <c r="D276" t="s">
        <v>79</v>
      </c>
      <c r="E276" t="s">
        <v>149</v>
      </c>
      <c r="F276" t="s">
        <v>48</v>
      </c>
      <c r="G276" t="s">
        <v>49</v>
      </c>
      <c r="H276" t="s">
        <v>158</v>
      </c>
      <c r="I276" s="5">
        <v>3192.84</v>
      </c>
      <c r="J276" s="8">
        <v>6</v>
      </c>
      <c r="K276" s="5">
        <v>1386.47</v>
      </c>
      <c r="L276" t="s">
        <v>21</v>
      </c>
      <c r="M276">
        <v>2024</v>
      </c>
      <c r="N276">
        <f t="shared" si="4"/>
        <v>6</v>
      </c>
    </row>
    <row r="277" spans="1:14" x14ac:dyDescent="0.25">
      <c r="A277" t="s">
        <v>263</v>
      </c>
      <c r="B277" s="2">
        <v>45460</v>
      </c>
      <c r="C277" t="s">
        <v>92</v>
      </c>
      <c r="D277" t="s">
        <v>79</v>
      </c>
      <c r="E277" t="s">
        <v>149</v>
      </c>
      <c r="F277" t="s">
        <v>48</v>
      </c>
      <c r="G277" t="s">
        <v>68</v>
      </c>
      <c r="H277" t="s">
        <v>69</v>
      </c>
      <c r="I277" s="5">
        <v>840.56</v>
      </c>
      <c r="J277" s="8">
        <v>5</v>
      </c>
      <c r="K277" s="5">
        <v>456.64</v>
      </c>
      <c r="L277" t="s">
        <v>38</v>
      </c>
      <c r="M277">
        <v>2024</v>
      </c>
      <c r="N277">
        <f t="shared" si="4"/>
        <v>6</v>
      </c>
    </row>
    <row r="278" spans="1:14" x14ac:dyDescent="0.25">
      <c r="A278" t="s">
        <v>624</v>
      </c>
      <c r="B278" s="2">
        <v>45462</v>
      </c>
      <c r="C278" t="s">
        <v>62</v>
      </c>
      <c r="D278" t="s">
        <v>41</v>
      </c>
      <c r="E278" t="s">
        <v>58</v>
      </c>
      <c r="F278" t="s">
        <v>26</v>
      </c>
      <c r="G278" t="s">
        <v>98</v>
      </c>
      <c r="H278" t="s">
        <v>176</v>
      </c>
      <c r="I278" s="5">
        <v>231.46</v>
      </c>
      <c r="J278" s="8">
        <v>3</v>
      </c>
      <c r="K278" s="5">
        <v>120.24</v>
      </c>
      <c r="L278" t="s">
        <v>21</v>
      </c>
      <c r="M278">
        <v>2024</v>
      </c>
      <c r="N278">
        <f t="shared" si="4"/>
        <v>6</v>
      </c>
    </row>
    <row r="279" spans="1:14" x14ac:dyDescent="0.25">
      <c r="A279" t="s">
        <v>530</v>
      </c>
      <c r="B279" s="2">
        <v>45465</v>
      </c>
      <c r="C279" t="s">
        <v>23</v>
      </c>
      <c r="D279" t="s">
        <v>66</v>
      </c>
      <c r="E279" t="s">
        <v>67</v>
      </c>
      <c r="F279" t="s">
        <v>18</v>
      </c>
      <c r="G279" t="s">
        <v>32</v>
      </c>
      <c r="H279" t="s">
        <v>33</v>
      </c>
      <c r="I279" s="5">
        <v>1476.22</v>
      </c>
      <c r="J279" s="8">
        <v>4</v>
      </c>
      <c r="K279" s="5">
        <v>684.68</v>
      </c>
      <c r="L279" t="s">
        <v>21</v>
      </c>
      <c r="M279">
        <v>2024</v>
      </c>
      <c r="N279">
        <f t="shared" si="4"/>
        <v>6</v>
      </c>
    </row>
    <row r="280" spans="1:14" x14ac:dyDescent="0.25">
      <c r="A280" t="s">
        <v>409</v>
      </c>
      <c r="B280" s="2">
        <v>45466</v>
      </c>
      <c r="C280" t="s">
        <v>57</v>
      </c>
      <c r="D280" t="s">
        <v>66</v>
      </c>
      <c r="E280" t="s">
        <v>271</v>
      </c>
      <c r="F280" t="s">
        <v>26</v>
      </c>
      <c r="G280" t="s">
        <v>81</v>
      </c>
      <c r="H280" t="s">
        <v>82</v>
      </c>
      <c r="I280" s="5">
        <v>3605.26</v>
      </c>
      <c r="J280" s="8">
        <v>8</v>
      </c>
      <c r="K280" s="5">
        <v>1561.1</v>
      </c>
      <c r="L280" t="s">
        <v>21</v>
      </c>
      <c r="M280">
        <v>2024</v>
      </c>
      <c r="N280">
        <f t="shared" si="4"/>
        <v>6</v>
      </c>
    </row>
    <row r="281" spans="1:14" x14ac:dyDescent="0.25">
      <c r="A281" t="s">
        <v>415</v>
      </c>
      <c r="B281" s="2">
        <v>45467</v>
      </c>
      <c r="C281" t="s">
        <v>62</v>
      </c>
      <c r="D281" t="s">
        <v>41</v>
      </c>
      <c r="E281" t="s">
        <v>42</v>
      </c>
      <c r="F281" t="s">
        <v>48</v>
      </c>
      <c r="G281" t="s">
        <v>68</v>
      </c>
      <c r="H281" t="s">
        <v>202</v>
      </c>
      <c r="I281" s="5">
        <v>5731.64</v>
      </c>
      <c r="J281" s="8">
        <v>7</v>
      </c>
      <c r="K281" s="5">
        <v>2001.18</v>
      </c>
      <c r="L281" t="s">
        <v>38</v>
      </c>
      <c r="M281">
        <v>2024</v>
      </c>
      <c r="N281">
        <f t="shared" si="4"/>
        <v>6</v>
      </c>
    </row>
    <row r="282" spans="1:14" x14ac:dyDescent="0.25">
      <c r="A282" t="s">
        <v>178</v>
      </c>
      <c r="B282" s="2">
        <v>45468</v>
      </c>
      <c r="C282" t="s">
        <v>46</v>
      </c>
      <c r="D282" t="s">
        <v>41</v>
      </c>
      <c r="E282" t="s">
        <v>58</v>
      </c>
      <c r="F282" t="s">
        <v>26</v>
      </c>
      <c r="G282" t="s">
        <v>27</v>
      </c>
      <c r="H282" t="s">
        <v>28</v>
      </c>
      <c r="I282" s="5">
        <v>2298.16</v>
      </c>
      <c r="J282" s="8">
        <v>4</v>
      </c>
      <c r="K282" s="5">
        <v>569.76</v>
      </c>
      <c r="L282" t="s">
        <v>21</v>
      </c>
      <c r="M282">
        <v>2024</v>
      </c>
      <c r="N282">
        <f t="shared" si="4"/>
        <v>6</v>
      </c>
    </row>
    <row r="283" spans="1:14" x14ac:dyDescent="0.25">
      <c r="A283" t="s">
        <v>279</v>
      </c>
      <c r="B283" s="2">
        <v>45468</v>
      </c>
      <c r="C283" t="s">
        <v>124</v>
      </c>
      <c r="D283" t="s">
        <v>86</v>
      </c>
      <c r="E283" t="s">
        <v>116</v>
      </c>
      <c r="F283" t="s">
        <v>26</v>
      </c>
      <c r="G283" t="s">
        <v>89</v>
      </c>
      <c r="H283" t="s">
        <v>265</v>
      </c>
      <c r="I283" s="5">
        <v>2554.7399999999998</v>
      </c>
      <c r="J283" s="8">
        <v>3</v>
      </c>
      <c r="K283" s="5">
        <v>1354.55</v>
      </c>
      <c r="L283" t="s">
        <v>21</v>
      </c>
      <c r="M283">
        <v>2024</v>
      </c>
      <c r="N283">
        <f t="shared" si="4"/>
        <v>6</v>
      </c>
    </row>
    <row r="284" spans="1:14" x14ac:dyDescent="0.25">
      <c r="A284" t="s">
        <v>216</v>
      </c>
      <c r="B284" s="2">
        <v>45470</v>
      </c>
      <c r="C284" t="s">
        <v>120</v>
      </c>
      <c r="D284" t="s">
        <v>36</v>
      </c>
      <c r="E284" t="s">
        <v>47</v>
      </c>
      <c r="F284" t="s">
        <v>18</v>
      </c>
      <c r="G284" t="s">
        <v>19</v>
      </c>
      <c r="H284" t="s">
        <v>20</v>
      </c>
      <c r="I284" s="5">
        <v>2514.9699999999998</v>
      </c>
      <c r="J284" s="8">
        <v>3</v>
      </c>
      <c r="K284" s="5">
        <v>1109.24</v>
      </c>
      <c r="L284" t="s">
        <v>21</v>
      </c>
      <c r="M284">
        <v>2024</v>
      </c>
      <c r="N284">
        <f t="shared" si="4"/>
        <v>6</v>
      </c>
    </row>
    <row r="285" spans="1:14" x14ac:dyDescent="0.25">
      <c r="A285" t="s">
        <v>284</v>
      </c>
      <c r="B285" s="2">
        <v>45470</v>
      </c>
      <c r="C285" t="s">
        <v>78</v>
      </c>
      <c r="D285" t="s">
        <v>52</v>
      </c>
      <c r="E285" t="s">
        <v>144</v>
      </c>
      <c r="F285" t="s">
        <v>48</v>
      </c>
      <c r="G285" t="s">
        <v>130</v>
      </c>
      <c r="H285" t="s">
        <v>139</v>
      </c>
      <c r="I285" s="5">
        <v>3601.21</v>
      </c>
      <c r="J285" s="8">
        <v>8</v>
      </c>
      <c r="K285" s="5">
        <v>978.17</v>
      </c>
      <c r="L285" t="s">
        <v>29</v>
      </c>
      <c r="M285">
        <v>2024</v>
      </c>
      <c r="N285">
        <f t="shared" si="4"/>
        <v>6</v>
      </c>
    </row>
    <row r="286" spans="1:14" x14ac:dyDescent="0.25">
      <c r="A286" t="s">
        <v>560</v>
      </c>
      <c r="B286" s="2">
        <v>45472</v>
      </c>
      <c r="C286" t="s">
        <v>31</v>
      </c>
      <c r="D286" t="s">
        <v>74</v>
      </c>
      <c r="E286" t="s">
        <v>213</v>
      </c>
      <c r="F286" t="s">
        <v>18</v>
      </c>
      <c r="G286" t="s">
        <v>54</v>
      </c>
      <c r="H286" t="s">
        <v>108</v>
      </c>
      <c r="I286" s="5">
        <v>1640.24</v>
      </c>
      <c r="J286" s="8">
        <v>2</v>
      </c>
      <c r="K286" s="5">
        <v>702.43</v>
      </c>
      <c r="L286" t="s">
        <v>38</v>
      </c>
      <c r="M286">
        <v>2024</v>
      </c>
      <c r="N286">
        <f t="shared" si="4"/>
        <v>6</v>
      </c>
    </row>
    <row r="287" spans="1:14" x14ac:dyDescent="0.25">
      <c r="A287" t="s">
        <v>122</v>
      </c>
      <c r="B287" s="2">
        <v>45473</v>
      </c>
      <c r="C287" t="s">
        <v>114</v>
      </c>
      <c r="D287" t="s">
        <v>24</v>
      </c>
      <c r="E287" t="s">
        <v>25</v>
      </c>
      <c r="F287" t="s">
        <v>18</v>
      </c>
      <c r="G287" t="s">
        <v>19</v>
      </c>
      <c r="H287" t="s">
        <v>72</v>
      </c>
      <c r="I287" s="5">
        <v>2268.94</v>
      </c>
      <c r="J287" s="8">
        <v>4</v>
      </c>
      <c r="K287" s="5">
        <v>946.98</v>
      </c>
      <c r="L287" t="s">
        <v>21</v>
      </c>
      <c r="M287">
        <v>2024</v>
      </c>
      <c r="N287">
        <f t="shared" si="4"/>
        <v>7</v>
      </c>
    </row>
    <row r="288" spans="1:14" x14ac:dyDescent="0.25">
      <c r="A288" t="s">
        <v>224</v>
      </c>
      <c r="B288" s="2">
        <v>45474</v>
      </c>
      <c r="C288" t="s">
        <v>46</v>
      </c>
      <c r="D288" t="s">
        <v>16</v>
      </c>
      <c r="E288" t="s">
        <v>190</v>
      </c>
      <c r="F288" t="s">
        <v>18</v>
      </c>
      <c r="G288" t="s">
        <v>54</v>
      </c>
      <c r="H288" t="s">
        <v>55</v>
      </c>
      <c r="I288" s="5">
        <v>518.17999999999995</v>
      </c>
      <c r="J288" s="8">
        <v>1</v>
      </c>
      <c r="K288" s="5">
        <v>129.82</v>
      </c>
      <c r="L288" t="s">
        <v>21</v>
      </c>
      <c r="M288">
        <v>2024</v>
      </c>
      <c r="N288">
        <f t="shared" si="4"/>
        <v>7</v>
      </c>
    </row>
    <row r="289" spans="1:14" x14ac:dyDescent="0.25">
      <c r="A289" t="s">
        <v>355</v>
      </c>
      <c r="B289" s="2">
        <v>45474</v>
      </c>
      <c r="C289" t="s">
        <v>114</v>
      </c>
      <c r="D289" t="s">
        <v>41</v>
      </c>
      <c r="E289" t="s">
        <v>58</v>
      </c>
      <c r="F289" t="s">
        <v>26</v>
      </c>
      <c r="G289" t="s">
        <v>81</v>
      </c>
      <c r="H289" t="s">
        <v>82</v>
      </c>
      <c r="I289" s="5">
        <v>930.2</v>
      </c>
      <c r="J289" s="8">
        <v>5</v>
      </c>
      <c r="K289" s="5">
        <v>453.47</v>
      </c>
      <c r="L289" t="s">
        <v>29</v>
      </c>
      <c r="M289">
        <v>2024</v>
      </c>
      <c r="N289">
        <f t="shared" si="4"/>
        <v>7</v>
      </c>
    </row>
    <row r="290" spans="1:14" x14ac:dyDescent="0.25">
      <c r="A290" t="s">
        <v>522</v>
      </c>
      <c r="B290" s="2">
        <v>45474</v>
      </c>
      <c r="C290" t="s">
        <v>124</v>
      </c>
      <c r="D290" t="s">
        <v>66</v>
      </c>
      <c r="E290" t="s">
        <v>271</v>
      </c>
      <c r="F290" t="s">
        <v>26</v>
      </c>
      <c r="G290" t="s">
        <v>81</v>
      </c>
      <c r="H290" t="s">
        <v>82</v>
      </c>
      <c r="I290" s="5">
        <v>2839.54</v>
      </c>
      <c r="J290" s="8">
        <v>5</v>
      </c>
      <c r="K290" s="5">
        <v>656.06</v>
      </c>
      <c r="L290" t="s">
        <v>29</v>
      </c>
      <c r="M290">
        <v>2024</v>
      </c>
      <c r="N290">
        <f t="shared" si="4"/>
        <v>7</v>
      </c>
    </row>
    <row r="291" spans="1:14" x14ac:dyDescent="0.25">
      <c r="A291" t="s">
        <v>352</v>
      </c>
      <c r="B291" s="2">
        <v>45475</v>
      </c>
      <c r="C291" t="s">
        <v>111</v>
      </c>
      <c r="D291" t="s">
        <v>66</v>
      </c>
      <c r="E291" t="s">
        <v>271</v>
      </c>
      <c r="F291" t="s">
        <v>18</v>
      </c>
      <c r="G291" t="s">
        <v>32</v>
      </c>
      <c r="H291" t="s">
        <v>147</v>
      </c>
      <c r="I291" s="5">
        <v>693.14</v>
      </c>
      <c r="J291" s="8">
        <v>2</v>
      </c>
      <c r="K291" s="5">
        <v>334.58</v>
      </c>
      <c r="L291" t="s">
        <v>29</v>
      </c>
      <c r="M291">
        <v>2024</v>
      </c>
      <c r="N291">
        <f t="shared" si="4"/>
        <v>7</v>
      </c>
    </row>
    <row r="292" spans="1:14" x14ac:dyDescent="0.25">
      <c r="A292" t="s">
        <v>332</v>
      </c>
      <c r="B292" s="2">
        <v>45477</v>
      </c>
      <c r="C292" t="s">
        <v>57</v>
      </c>
      <c r="D292" t="s">
        <v>41</v>
      </c>
      <c r="E292" t="s">
        <v>58</v>
      </c>
      <c r="F292" t="s">
        <v>26</v>
      </c>
      <c r="G292" t="s">
        <v>98</v>
      </c>
      <c r="H292" t="s">
        <v>99</v>
      </c>
      <c r="I292" s="5">
        <v>369.56</v>
      </c>
      <c r="J292" s="8">
        <v>3</v>
      </c>
      <c r="K292" s="5">
        <v>165.69</v>
      </c>
      <c r="L292" t="s">
        <v>21</v>
      </c>
      <c r="M292">
        <v>2024</v>
      </c>
      <c r="N292">
        <f t="shared" si="4"/>
        <v>7</v>
      </c>
    </row>
    <row r="293" spans="1:14" x14ac:dyDescent="0.25">
      <c r="A293" t="s">
        <v>170</v>
      </c>
      <c r="B293" s="2">
        <v>45481</v>
      </c>
      <c r="C293" t="s">
        <v>57</v>
      </c>
      <c r="D293" t="s">
        <v>52</v>
      </c>
      <c r="E293" t="s">
        <v>144</v>
      </c>
      <c r="F293" t="s">
        <v>18</v>
      </c>
      <c r="G293" t="s">
        <v>19</v>
      </c>
      <c r="H293" t="s">
        <v>72</v>
      </c>
      <c r="I293" s="5">
        <v>6681.38</v>
      </c>
      <c r="J293" s="8">
        <v>8</v>
      </c>
      <c r="K293" s="5">
        <v>3547.5</v>
      </c>
      <c r="L293" t="s">
        <v>21</v>
      </c>
      <c r="M293">
        <v>2024</v>
      </c>
      <c r="N293">
        <f t="shared" si="4"/>
        <v>7</v>
      </c>
    </row>
    <row r="294" spans="1:14" x14ac:dyDescent="0.25">
      <c r="A294" t="s">
        <v>150</v>
      </c>
      <c r="B294" s="2">
        <v>45483</v>
      </c>
      <c r="C294" t="s">
        <v>31</v>
      </c>
      <c r="D294" t="s">
        <v>125</v>
      </c>
      <c r="E294" t="s">
        <v>126</v>
      </c>
      <c r="F294" t="s">
        <v>48</v>
      </c>
      <c r="G294" t="s">
        <v>151</v>
      </c>
      <c r="H294" t="s">
        <v>152</v>
      </c>
      <c r="I294" s="5">
        <v>677.55</v>
      </c>
      <c r="J294" s="8">
        <v>4</v>
      </c>
      <c r="K294" s="5">
        <v>353.35</v>
      </c>
      <c r="L294" t="s">
        <v>21</v>
      </c>
      <c r="M294">
        <v>2024</v>
      </c>
      <c r="N294">
        <f t="shared" si="4"/>
        <v>7</v>
      </c>
    </row>
    <row r="295" spans="1:14" x14ac:dyDescent="0.25">
      <c r="A295" t="s">
        <v>623</v>
      </c>
      <c r="B295" s="2">
        <v>45490</v>
      </c>
      <c r="C295" t="s">
        <v>160</v>
      </c>
      <c r="D295" t="s">
        <v>74</v>
      </c>
      <c r="E295" t="s">
        <v>75</v>
      </c>
      <c r="F295" t="s">
        <v>48</v>
      </c>
      <c r="G295" t="s">
        <v>49</v>
      </c>
      <c r="H295" t="s">
        <v>50</v>
      </c>
      <c r="I295" s="5">
        <v>4473.25</v>
      </c>
      <c r="J295" s="8">
        <v>5</v>
      </c>
      <c r="K295" s="5">
        <v>1603.42</v>
      </c>
      <c r="L295" t="s">
        <v>21</v>
      </c>
      <c r="M295">
        <v>2024</v>
      </c>
      <c r="N295">
        <f t="shared" si="4"/>
        <v>7</v>
      </c>
    </row>
    <row r="296" spans="1:14" x14ac:dyDescent="0.25">
      <c r="A296" t="s">
        <v>191</v>
      </c>
      <c r="B296" s="2">
        <v>45492</v>
      </c>
      <c r="C296" t="s">
        <v>31</v>
      </c>
      <c r="D296" t="s">
        <v>74</v>
      </c>
      <c r="E296" t="s">
        <v>75</v>
      </c>
      <c r="F296" t="s">
        <v>48</v>
      </c>
      <c r="G296" t="s">
        <v>59</v>
      </c>
      <c r="H296" t="s">
        <v>142</v>
      </c>
      <c r="I296" s="5">
        <v>172.26</v>
      </c>
      <c r="J296" s="8">
        <v>2</v>
      </c>
      <c r="K296" s="5">
        <v>59.16</v>
      </c>
      <c r="L296" t="s">
        <v>38</v>
      </c>
      <c r="M296">
        <v>2024</v>
      </c>
      <c r="N296">
        <f t="shared" si="4"/>
        <v>7</v>
      </c>
    </row>
    <row r="297" spans="1:14" x14ac:dyDescent="0.25">
      <c r="A297" t="s">
        <v>717</v>
      </c>
      <c r="B297" s="2">
        <v>45495</v>
      </c>
      <c r="C297" t="s">
        <v>46</v>
      </c>
      <c r="D297" t="s">
        <v>125</v>
      </c>
      <c r="E297" t="s">
        <v>146</v>
      </c>
      <c r="F297" t="s">
        <v>48</v>
      </c>
      <c r="G297" t="s">
        <v>59</v>
      </c>
      <c r="H297" t="s">
        <v>142</v>
      </c>
      <c r="I297" s="5">
        <v>3552.96</v>
      </c>
      <c r="J297" s="8">
        <v>5</v>
      </c>
      <c r="K297" s="5">
        <v>1698.36</v>
      </c>
      <c r="L297" t="s">
        <v>29</v>
      </c>
      <c r="M297">
        <v>2024</v>
      </c>
      <c r="N297">
        <f t="shared" si="4"/>
        <v>7</v>
      </c>
    </row>
    <row r="298" spans="1:14" x14ac:dyDescent="0.25">
      <c r="A298" t="s">
        <v>157</v>
      </c>
      <c r="B298" s="2">
        <v>45496</v>
      </c>
      <c r="C298" t="s">
        <v>57</v>
      </c>
      <c r="D298" t="s">
        <v>36</v>
      </c>
      <c r="E298" t="s">
        <v>47</v>
      </c>
      <c r="F298" t="s">
        <v>48</v>
      </c>
      <c r="G298" t="s">
        <v>49</v>
      </c>
      <c r="H298" t="s">
        <v>158</v>
      </c>
      <c r="I298" s="5">
        <v>4842.24</v>
      </c>
      <c r="J298" s="8">
        <v>7</v>
      </c>
      <c r="K298" s="5">
        <v>2024.88</v>
      </c>
      <c r="L298" t="s">
        <v>38</v>
      </c>
      <c r="M298">
        <v>2024</v>
      </c>
      <c r="N298">
        <f t="shared" si="4"/>
        <v>7</v>
      </c>
    </row>
    <row r="299" spans="1:14" x14ac:dyDescent="0.25">
      <c r="A299" t="s">
        <v>184</v>
      </c>
      <c r="B299" s="2">
        <v>45496</v>
      </c>
      <c r="C299" t="s">
        <v>78</v>
      </c>
      <c r="D299" t="s">
        <v>86</v>
      </c>
      <c r="E299" t="s">
        <v>116</v>
      </c>
      <c r="F299" t="s">
        <v>26</v>
      </c>
      <c r="G299" t="s">
        <v>27</v>
      </c>
      <c r="H299" t="s">
        <v>162</v>
      </c>
      <c r="I299" s="5">
        <v>788.8</v>
      </c>
      <c r="J299" s="8">
        <v>8</v>
      </c>
      <c r="K299" s="5">
        <v>232.19</v>
      </c>
      <c r="L299" t="s">
        <v>21</v>
      </c>
      <c r="M299">
        <v>2024</v>
      </c>
      <c r="N299">
        <f t="shared" si="4"/>
        <v>7</v>
      </c>
    </row>
    <row r="300" spans="1:14" x14ac:dyDescent="0.25">
      <c r="A300" t="s">
        <v>585</v>
      </c>
      <c r="B300" s="2">
        <v>45496</v>
      </c>
      <c r="C300" t="s">
        <v>15</v>
      </c>
      <c r="D300" t="s">
        <v>79</v>
      </c>
      <c r="E300" t="s">
        <v>138</v>
      </c>
      <c r="F300" t="s">
        <v>48</v>
      </c>
      <c r="G300" t="s">
        <v>151</v>
      </c>
      <c r="H300" t="s">
        <v>174</v>
      </c>
      <c r="I300" s="5">
        <v>273.22000000000003</v>
      </c>
      <c r="J300" s="8">
        <v>4</v>
      </c>
      <c r="K300" s="5">
        <v>133.44999999999999</v>
      </c>
      <c r="L300" t="s">
        <v>29</v>
      </c>
      <c r="M300">
        <v>2024</v>
      </c>
      <c r="N300">
        <f t="shared" si="4"/>
        <v>8</v>
      </c>
    </row>
    <row r="301" spans="1:14" x14ac:dyDescent="0.25">
      <c r="A301" t="s">
        <v>366</v>
      </c>
      <c r="B301" s="2">
        <v>45510</v>
      </c>
      <c r="C301" t="s">
        <v>137</v>
      </c>
      <c r="D301" t="s">
        <v>36</v>
      </c>
      <c r="E301" t="s">
        <v>47</v>
      </c>
      <c r="F301" t="s">
        <v>26</v>
      </c>
      <c r="G301" t="s">
        <v>81</v>
      </c>
      <c r="H301" t="s">
        <v>112</v>
      </c>
      <c r="I301" s="5">
        <v>1508.61</v>
      </c>
      <c r="J301" s="8">
        <v>4</v>
      </c>
      <c r="K301" s="5">
        <v>794.94</v>
      </c>
      <c r="L301" t="s">
        <v>21</v>
      </c>
      <c r="M301">
        <v>2024</v>
      </c>
      <c r="N301">
        <f t="shared" si="4"/>
        <v>8</v>
      </c>
    </row>
    <row r="302" spans="1:14" x14ac:dyDescent="0.25">
      <c r="A302" t="s">
        <v>236</v>
      </c>
      <c r="B302" s="2">
        <v>45514</v>
      </c>
      <c r="C302" t="s">
        <v>35</v>
      </c>
      <c r="D302" t="s">
        <v>86</v>
      </c>
      <c r="E302" t="s">
        <v>87</v>
      </c>
      <c r="F302" t="s">
        <v>48</v>
      </c>
      <c r="G302" t="s">
        <v>151</v>
      </c>
      <c r="H302" t="s">
        <v>174</v>
      </c>
      <c r="I302" s="5">
        <v>2105.9499999999998</v>
      </c>
      <c r="J302" s="8">
        <v>6</v>
      </c>
      <c r="K302" s="5">
        <v>1118</v>
      </c>
      <c r="L302" t="s">
        <v>21</v>
      </c>
      <c r="M302">
        <v>2024</v>
      </c>
      <c r="N302">
        <f t="shared" si="4"/>
        <v>8</v>
      </c>
    </row>
    <row r="303" spans="1:14" x14ac:dyDescent="0.25">
      <c r="A303" t="s">
        <v>528</v>
      </c>
      <c r="B303" s="2">
        <v>45514</v>
      </c>
      <c r="C303" t="s">
        <v>15</v>
      </c>
      <c r="D303" t="s">
        <v>66</v>
      </c>
      <c r="E303" t="s">
        <v>271</v>
      </c>
      <c r="F303" t="s">
        <v>26</v>
      </c>
      <c r="G303" t="s">
        <v>89</v>
      </c>
      <c r="H303" t="s">
        <v>90</v>
      </c>
      <c r="I303" s="5">
        <v>4132.8900000000003</v>
      </c>
      <c r="J303" s="8">
        <v>6</v>
      </c>
      <c r="K303" s="5">
        <v>1063.94</v>
      </c>
      <c r="L303" t="s">
        <v>38</v>
      </c>
      <c r="M303">
        <v>2024</v>
      </c>
      <c r="N303">
        <f t="shared" si="4"/>
        <v>8</v>
      </c>
    </row>
    <row r="304" spans="1:14" x14ac:dyDescent="0.25">
      <c r="A304" t="s">
        <v>715</v>
      </c>
      <c r="B304" s="2">
        <v>45514</v>
      </c>
      <c r="C304" t="s">
        <v>57</v>
      </c>
      <c r="D304" t="s">
        <v>36</v>
      </c>
      <c r="E304" t="s">
        <v>47</v>
      </c>
      <c r="F304" t="s">
        <v>18</v>
      </c>
      <c r="G304" t="s">
        <v>54</v>
      </c>
      <c r="H304" t="s">
        <v>55</v>
      </c>
      <c r="I304" s="5">
        <v>2780.64</v>
      </c>
      <c r="J304" s="8">
        <v>5</v>
      </c>
      <c r="K304" s="5">
        <v>547.16</v>
      </c>
      <c r="L304" t="s">
        <v>21</v>
      </c>
      <c r="M304">
        <v>2024</v>
      </c>
      <c r="N304">
        <f t="shared" si="4"/>
        <v>8</v>
      </c>
    </row>
    <row r="305" spans="1:14" x14ac:dyDescent="0.25">
      <c r="A305" t="s">
        <v>509</v>
      </c>
      <c r="B305" s="2">
        <v>45515</v>
      </c>
      <c r="C305" t="s">
        <v>124</v>
      </c>
      <c r="D305" t="s">
        <v>36</v>
      </c>
      <c r="E305" t="s">
        <v>128</v>
      </c>
      <c r="F305" t="s">
        <v>18</v>
      </c>
      <c r="G305" t="s">
        <v>43</v>
      </c>
      <c r="H305" t="s">
        <v>76</v>
      </c>
      <c r="I305" s="5">
        <v>2119.6799999999998</v>
      </c>
      <c r="J305" s="8">
        <v>4</v>
      </c>
      <c r="K305" s="5">
        <v>1161.7</v>
      </c>
      <c r="L305" t="s">
        <v>21</v>
      </c>
      <c r="M305">
        <v>2024</v>
      </c>
      <c r="N305">
        <f t="shared" si="4"/>
        <v>8</v>
      </c>
    </row>
    <row r="306" spans="1:14" x14ac:dyDescent="0.25">
      <c r="A306" t="s">
        <v>589</v>
      </c>
      <c r="B306" s="2">
        <v>45515</v>
      </c>
      <c r="C306" t="s">
        <v>133</v>
      </c>
      <c r="D306" t="s">
        <v>125</v>
      </c>
      <c r="E306" t="s">
        <v>141</v>
      </c>
      <c r="F306" t="s">
        <v>26</v>
      </c>
      <c r="G306" t="s">
        <v>89</v>
      </c>
      <c r="H306" t="s">
        <v>90</v>
      </c>
      <c r="I306" s="5">
        <v>6628.9</v>
      </c>
      <c r="J306" s="8">
        <v>8</v>
      </c>
      <c r="K306" s="5">
        <v>2057.6</v>
      </c>
      <c r="L306" t="s">
        <v>38</v>
      </c>
      <c r="M306">
        <v>2024</v>
      </c>
      <c r="N306">
        <f t="shared" si="4"/>
        <v>8</v>
      </c>
    </row>
    <row r="307" spans="1:14" x14ac:dyDescent="0.25">
      <c r="A307" t="s">
        <v>710</v>
      </c>
      <c r="B307" s="2">
        <v>45515</v>
      </c>
      <c r="C307" t="s">
        <v>198</v>
      </c>
      <c r="D307" t="s">
        <v>36</v>
      </c>
      <c r="E307" t="s">
        <v>37</v>
      </c>
      <c r="F307" t="s">
        <v>26</v>
      </c>
      <c r="G307" t="s">
        <v>98</v>
      </c>
      <c r="H307" t="s">
        <v>99</v>
      </c>
      <c r="I307" s="5">
        <v>1186.06</v>
      </c>
      <c r="J307" s="8">
        <v>4</v>
      </c>
      <c r="K307" s="5">
        <v>586.95000000000005</v>
      </c>
      <c r="L307" t="s">
        <v>21</v>
      </c>
      <c r="M307">
        <v>2024</v>
      </c>
      <c r="N307">
        <f t="shared" si="4"/>
        <v>8</v>
      </c>
    </row>
    <row r="308" spans="1:14" x14ac:dyDescent="0.25">
      <c r="A308" t="s">
        <v>669</v>
      </c>
      <c r="B308" s="2">
        <v>45517</v>
      </c>
      <c r="C308" t="s">
        <v>120</v>
      </c>
      <c r="D308" t="s">
        <v>86</v>
      </c>
      <c r="E308" t="s">
        <v>118</v>
      </c>
      <c r="F308" t="s">
        <v>48</v>
      </c>
      <c r="G308" t="s">
        <v>59</v>
      </c>
      <c r="H308" t="s">
        <v>60</v>
      </c>
      <c r="I308" s="5">
        <v>1180.22</v>
      </c>
      <c r="J308" s="8">
        <v>6</v>
      </c>
      <c r="K308" s="5">
        <v>575.91999999999996</v>
      </c>
      <c r="L308" t="s">
        <v>21</v>
      </c>
      <c r="M308">
        <v>2024</v>
      </c>
      <c r="N308">
        <f t="shared" si="4"/>
        <v>8</v>
      </c>
    </row>
    <row r="309" spans="1:14" x14ac:dyDescent="0.25">
      <c r="A309" t="s">
        <v>39</v>
      </c>
      <c r="B309" s="2">
        <v>45519</v>
      </c>
      <c r="C309" t="s">
        <v>40</v>
      </c>
      <c r="D309" t="s">
        <v>41</v>
      </c>
      <c r="E309" t="s">
        <v>42</v>
      </c>
      <c r="F309" t="s">
        <v>18</v>
      </c>
      <c r="G309" t="s">
        <v>43</v>
      </c>
      <c r="H309" t="s">
        <v>44</v>
      </c>
      <c r="I309" s="5">
        <v>3317.98</v>
      </c>
      <c r="J309" s="8">
        <v>4</v>
      </c>
      <c r="K309" s="5">
        <v>672.67</v>
      </c>
      <c r="L309" t="s">
        <v>21</v>
      </c>
      <c r="M309">
        <v>2024</v>
      </c>
      <c r="N309">
        <f t="shared" si="4"/>
        <v>8</v>
      </c>
    </row>
    <row r="310" spans="1:14" x14ac:dyDescent="0.25">
      <c r="A310" t="s">
        <v>621</v>
      </c>
      <c r="B310" s="2">
        <v>45519</v>
      </c>
      <c r="C310" t="s">
        <v>198</v>
      </c>
      <c r="D310" t="s">
        <v>41</v>
      </c>
      <c r="E310" t="s">
        <v>58</v>
      </c>
      <c r="F310" t="s">
        <v>48</v>
      </c>
      <c r="G310" t="s">
        <v>94</v>
      </c>
      <c r="H310" t="s">
        <v>104</v>
      </c>
      <c r="I310" s="5">
        <v>101.2</v>
      </c>
      <c r="J310" s="8">
        <v>5</v>
      </c>
      <c r="K310" s="5">
        <v>32.51</v>
      </c>
      <c r="L310" t="s">
        <v>21</v>
      </c>
      <c r="M310">
        <v>2024</v>
      </c>
      <c r="N310">
        <f t="shared" si="4"/>
        <v>8</v>
      </c>
    </row>
    <row r="311" spans="1:14" x14ac:dyDescent="0.25">
      <c r="A311" t="s">
        <v>684</v>
      </c>
      <c r="B311" s="2">
        <v>45520</v>
      </c>
      <c r="C311" t="s">
        <v>84</v>
      </c>
      <c r="D311" t="s">
        <v>24</v>
      </c>
      <c r="E311" t="s">
        <v>103</v>
      </c>
      <c r="F311" t="s">
        <v>48</v>
      </c>
      <c r="G311" t="s">
        <v>94</v>
      </c>
      <c r="H311" t="s">
        <v>104</v>
      </c>
      <c r="I311" s="5">
        <v>803.98</v>
      </c>
      <c r="J311" s="8">
        <v>1</v>
      </c>
      <c r="K311" s="5">
        <v>241.86</v>
      </c>
      <c r="L311" t="s">
        <v>21</v>
      </c>
      <c r="M311">
        <v>2024</v>
      </c>
      <c r="N311">
        <f t="shared" si="4"/>
        <v>8</v>
      </c>
    </row>
    <row r="312" spans="1:14" x14ac:dyDescent="0.25">
      <c r="A312" t="s">
        <v>443</v>
      </c>
      <c r="B312" s="2">
        <v>45522</v>
      </c>
      <c r="C312" t="s">
        <v>31</v>
      </c>
      <c r="D312" t="s">
        <v>86</v>
      </c>
      <c r="E312" t="s">
        <v>87</v>
      </c>
      <c r="F312" t="s">
        <v>26</v>
      </c>
      <c r="G312" t="s">
        <v>89</v>
      </c>
      <c r="H312" t="s">
        <v>90</v>
      </c>
      <c r="I312" s="5">
        <v>201.66</v>
      </c>
      <c r="J312" s="8">
        <v>1</v>
      </c>
      <c r="K312" s="5">
        <v>110.57</v>
      </c>
      <c r="L312" t="s">
        <v>21</v>
      </c>
      <c r="M312">
        <v>2024</v>
      </c>
      <c r="N312">
        <f t="shared" si="4"/>
        <v>8</v>
      </c>
    </row>
    <row r="313" spans="1:14" x14ac:dyDescent="0.25">
      <c r="A313" t="s">
        <v>478</v>
      </c>
      <c r="B313" s="2">
        <v>45522</v>
      </c>
      <c r="C313" t="s">
        <v>57</v>
      </c>
      <c r="D313" t="s">
        <v>125</v>
      </c>
      <c r="E313" t="s">
        <v>146</v>
      </c>
      <c r="F313" t="s">
        <v>26</v>
      </c>
      <c r="G313" t="s">
        <v>89</v>
      </c>
      <c r="H313" t="s">
        <v>265</v>
      </c>
      <c r="I313" s="5">
        <v>525</v>
      </c>
      <c r="J313" s="8">
        <v>2</v>
      </c>
      <c r="K313" s="5">
        <v>236.68</v>
      </c>
      <c r="L313" t="s">
        <v>21</v>
      </c>
      <c r="M313">
        <v>2024</v>
      </c>
      <c r="N313">
        <f t="shared" si="4"/>
        <v>8</v>
      </c>
    </row>
    <row r="314" spans="1:14" x14ac:dyDescent="0.25">
      <c r="A314" t="s">
        <v>251</v>
      </c>
      <c r="B314" s="2">
        <v>45523</v>
      </c>
      <c r="C314" t="s">
        <v>160</v>
      </c>
      <c r="D314" t="s">
        <v>41</v>
      </c>
      <c r="E314" t="s">
        <v>58</v>
      </c>
      <c r="F314" t="s">
        <v>26</v>
      </c>
      <c r="G314" t="s">
        <v>27</v>
      </c>
      <c r="H314" t="s">
        <v>28</v>
      </c>
      <c r="I314" s="5">
        <v>1811.3</v>
      </c>
      <c r="J314" s="8">
        <v>3</v>
      </c>
      <c r="K314" s="5">
        <v>984.71</v>
      </c>
      <c r="L314" t="s">
        <v>38</v>
      </c>
      <c r="M314">
        <v>2024</v>
      </c>
      <c r="N314">
        <f t="shared" si="4"/>
        <v>8</v>
      </c>
    </row>
    <row r="315" spans="1:14" x14ac:dyDescent="0.25">
      <c r="A315" t="s">
        <v>337</v>
      </c>
      <c r="B315" s="2">
        <v>45523</v>
      </c>
      <c r="C315" t="s">
        <v>23</v>
      </c>
      <c r="D315" t="s">
        <v>74</v>
      </c>
      <c r="E315" t="s">
        <v>75</v>
      </c>
      <c r="F315" t="s">
        <v>18</v>
      </c>
      <c r="G315" t="s">
        <v>32</v>
      </c>
      <c r="H315" t="s">
        <v>147</v>
      </c>
      <c r="I315" s="5">
        <v>5594.69</v>
      </c>
      <c r="J315" s="8">
        <v>8</v>
      </c>
      <c r="K315" s="5">
        <v>1915.92</v>
      </c>
      <c r="L315" t="s">
        <v>21</v>
      </c>
      <c r="M315">
        <v>2024</v>
      </c>
      <c r="N315">
        <f t="shared" si="4"/>
        <v>8</v>
      </c>
    </row>
    <row r="316" spans="1:14" x14ac:dyDescent="0.25">
      <c r="A316" t="s">
        <v>622</v>
      </c>
      <c r="B316" s="2">
        <v>45524</v>
      </c>
      <c r="C316" t="s">
        <v>160</v>
      </c>
      <c r="D316" t="s">
        <v>41</v>
      </c>
      <c r="E316" t="s">
        <v>63</v>
      </c>
      <c r="F316" t="s">
        <v>26</v>
      </c>
      <c r="G316" t="s">
        <v>98</v>
      </c>
      <c r="H316" t="s">
        <v>99</v>
      </c>
      <c r="I316" s="5">
        <v>656.33</v>
      </c>
      <c r="J316" s="8">
        <v>1</v>
      </c>
      <c r="K316" s="5">
        <v>172.58</v>
      </c>
      <c r="L316" t="s">
        <v>29</v>
      </c>
      <c r="M316">
        <v>2024</v>
      </c>
      <c r="N316">
        <f t="shared" si="4"/>
        <v>8</v>
      </c>
    </row>
    <row r="317" spans="1:14" x14ac:dyDescent="0.25">
      <c r="A317" t="s">
        <v>70</v>
      </c>
      <c r="B317" s="2">
        <v>45528</v>
      </c>
      <c r="C317" t="s">
        <v>46</v>
      </c>
      <c r="D317" t="s">
        <v>16</v>
      </c>
      <c r="E317" t="s">
        <v>71</v>
      </c>
      <c r="F317" t="s">
        <v>18</v>
      </c>
      <c r="G317" t="s">
        <v>19</v>
      </c>
      <c r="H317" t="s">
        <v>72</v>
      </c>
      <c r="I317" s="5">
        <v>294.14</v>
      </c>
      <c r="J317" s="8">
        <v>2</v>
      </c>
      <c r="K317" s="5">
        <v>54.77</v>
      </c>
      <c r="L317" t="s">
        <v>38</v>
      </c>
      <c r="M317">
        <v>2024</v>
      </c>
      <c r="N317">
        <f t="shared" si="4"/>
        <v>8</v>
      </c>
    </row>
    <row r="318" spans="1:14" x14ac:dyDescent="0.25">
      <c r="A318" t="s">
        <v>461</v>
      </c>
      <c r="B318" s="2">
        <v>45531</v>
      </c>
      <c r="C318" t="s">
        <v>15</v>
      </c>
      <c r="D318" t="s">
        <v>66</v>
      </c>
      <c r="E318" t="s">
        <v>271</v>
      </c>
      <c r="F318" t="s">
        <v>18</v>
      </c>
      <c r="G318" t="s">
        <v>19</v>
      </c>
      <c r="H318" t="s">
        <v>20</v>
      </c>
      <c r="I318" s="5">
        <v>154.24</v>
      </c>
      <c r="J318" s="8">
        <v>1</v>
      </c>
      <c r="K318" s="5">
        <v>65.75</v>
      </c>
      <c r="L318" t="s">
        <v>21</v>
      </c>
      <c r="M318">
        <v>2024</v>
      </c>
      <c r="N318">
        <f t="shared" si="4"/>
        <v>8</v>
      </c>
    </row>
    <row r="319" spans="1:14" x14ac:dyDescent="0.25">
      <c r="A319" t="s">
        <v>134</v>
      </c>
      <c r="B319" s="2">
        <v>45532</v>
      </c>
      <c r="C319" t="s">
        <v>120</v>
      </c>
      <c r="D319" t="s">
        <v>74</v>
      </c>
      <c r="E319" t="s">
        <v>97</v>
      </c>
      <c r="F319" t="s">
        <v>18</v>
      </c>
      <c r="G319" t="s">
        <v>32</v>
      </c>
      <c r="H319" t="s">
        <v>33</v>
      </c>
      <c r="I319" s="5">
        <v>1935.78</v>
      </c>
      <c r="J319" s="8">
        <v>7</v>
      </c>
      <c r="K319" s="5">
        <v>553.83000000000004</v>
      </c>
      <c r="L319" t="s">
        <v>29</v>
      </c>
      <c r="M319">
        <v>2024</v>
      </c>
      <c r="N319">
        <f t="shared" si="4"/>
        <v>9</v>
      </c>
    </row>
    <row r="320" spans="1:14" x14ac:dyDescent="0.25">
      <c r="A320" t="s">
        <v>288</v>
      </c>
      <c r="B320" s="2">
        <v>45538</v>
      </c>
      <c r="C320" t="s">
        <v>137</v>
      </c>
      <c r="D320" t="s">
        <v>86</v>
      </c>
      <c r="E320" t="s">
        <v>116</v>
      </c>
      <c r="F320" t="s">
        <v>48</v>
      </c>
      <c r="G320" t="s">
        <v>59</v>
      </c>
      <c r="H320" t="s">
        <v>142</v>
      </c>
      <c r="I320" s="5">
        <v>2480.69</v>
      </c>
      <c r="J320" s="8">
        <v>5</v>
      </c>
      <c r="K320" s="5">
        <v>1256.93</v>
      </c>
      <c r="L320" t="s">
        <v>21</v>
      </c>
      <c r="M320">
        <v>2024</v>
      </c>
      <c r="N320">
        <f t="shared" si="4"/>
        <v>9</v>
      </c>
    </row>
    <row r="321" spans="1:14" x14ac:dyDescent="0.25">
      <c r="A321" t="s">
        <v>294</v>
      </c>
      <c r="B321" s="2">
        <v>45538</v>
      </c>
      <c r="C321" t="s">
        <v>133</v>
      </c>
      <c r="D321" t="s">
        <v>52</v>
      </c>
      <c r="E321" t="s">
        <v>53</v>
      </c>
      <c r="F321" t="s">
        <v>26</v>
      </c>
      <c r="G321" t="s">
        <v>81</v>
      </c>
      <c r="H321" t="s">
        <v>112</v>
      </c>
      <c r="I321" s="5">
        <v>656.86</v>
      </c>
      <c r="J321" s="8">
        <v>1</v>
      </c>
      <c r="K321" s="5">
        <v>163.72999999999999</v>
      </c>
      <c r="L321" t="s">
        <v>29</v>
      </c>
      <c r="M321">
        <v>2024</v>
      </c>
      <c r="N321">
        <f t="shared" si="4"/>
        <v>9</v>
      </c>
    </row>
    <row r="322" spans="1:14" x14ac:dyDescent="0.25">
      <c r="A322" t="s">
        <v>586</v>
      </c>
      <c r="B322" s="2">
        <v>45538</v>
      </c>
      <c r="C322" t="s">
        <v>35</v>
      </c>
      <c r="D322" t="s">
        <v>24</v>
      </c>
      <c r="E322" t="s">
        <v>377</v>
      </c>
      <c r="F322" t="s">
        <v>48</v>
      </c>
      <c r="G322" t="s">
        <v>151</v>
      </c>
      <c r="H322" t="s">
        <v>174</v>
      </c>
      <c r="I322" s="5">
        <v>734.27</v>
      </c>
      <c r="J322" s="8">
        <v>1</v>
      </c>
      <c r="K322" s="5">
        <v>245.68</v>
      </c>
      <c r="L322" t="s">
        <v>21</v>
      </c>
      <c r="M322">
        <v>2024</v>
      </c>
      <c r="N322">
        <f t="shared" ref="N322:N385" si="5">MONTH(B323)</f>
        <v>9</v>
      </c>
    </row>
    <row r="323" spans="1:14" x14ac:dyDescent="0.25">
      <c r="A323" t="s">
        <v>197</v>
      </c>
      <c r="B323" s="2">
        <v>45540</v>
      </c>
      <c r="C323" t="s">
        <v>198</v>
      </c>
      <c r="D323" t="s">
        <v>52</v>
      </c>
      <c r="E323" t="s">
        <v>107</v>
      </c>
      <c r="F323" t="s">
        <v>18</v>
      </c>
      <c r="G323" t="s">
        <v>43</v>
      </c>
      <c r="H323" t="s">
        <v>76</v>
      </c>
      <c r="I323" s="5">
        <v>2680.83</v>
      </c>
      <c r="J323" s="8">
        <v>3</v>
      </c>
      <c r="K323" s="5">
        <v>1469.44</v>
      </c>
      <c r="L323" t="s">
        <v>21</v>
      </c>
      <c r="M323">
        <v>2024</v>
      </c>
      <c r="N323">
        <f t="shared" si="5"/>
        <v>9</v>
      </c>
    </row>
    <row r="324" spans="1:14" x14ac:dyDescent="0.25">
      <c r="A324" t="s">
        <v>283</v>
      </c>
      <c r="B324" s="2">
        <v>45540</v>
      </c>
      <c r="C324" t="s">
        <v>160</v>
      </c>
      <c r="D324" t="s">
        <v>66</v>
      </c>
      <c r="E324" t="s">
        <v>271</v>
      </c>
      <c r="F324" t="s">
        <v>18</v>
      </c>
      <c r="G324" t="s">
        <v>19</v>
      </c>
      <c r="H324" t="s">
        <v>72</v>
      </c>
      <c r="I324" s="5">
        <v>3271.34</v>
      </c>
      <c r="J324" s="8">
        <v>8</v>
      </c>
      <c r="K324" s="5">
        <v>1070.05</v>
      </c>
      <c r="L324" t="s">
        <v>38</v>
      </c>
      <c r="M324">
        <v>2024</v>
      </c>
      <c r="N324">
        <f t="shared" si="5"/>
        <v>9</v>
      </c>
    </row>
    <row r="325" spans="1:14" x14ac:dyDescent="0.25">
      <c r="A325" t="s">
        <v>552</v>
      </c>
      <c r="B325" s="2">
        <v>45542</v>
      </c>
      <c r="C325" t="s">
        <v>92</v>
      </c>
      <c r="D325" t="s">
        <v>86</v>
      </c>
      <c r="E325" t="s">
        <v>116</v>
      </c>
      <c r="F325" t="s">
        <v>26</v>
      </c>
      <c r="G325" t="s">
        <v>27</v>
      </c>
      <c r="H325" t="s">
        <v>162</v>
      </c>
      <c r="I325" s="5">
        <v>450.94</v>
      </c>
      <c r="J325" s="8">
        <v>1</v>
      </c>
      <c r="K325" s="5">
        <v>100.56</v>
      </c>
      <c r="L325" t="s">
        <v>21</v>
      </c>
      <c r="M325">
        <v>2024</v>
      </c>
      <c r="N325">
        <f t="shared" si="5"/>
        <v>9</v>
      </c>
    </row>
    <row r="326" spans="1:14" x14ac:dyDescent="0.25">
      <c r="A326" t="s">
        <v>439</v>
      </c>
      <c r="B326" s="2">
        <v>45543</v>
      </c>
      <c r="C326" t="s">
        <v>114</v>
      </c>
      <c r="D326" t="s">
        <v>79</v>
      </c>
      <c r="E326" t="s">
        <v>149</v>
      </c>
      <c r="F326" t="s">
        <v>26</v>
      </c>
      <c r="G326" t="s">
        <v>27</v>
      </c>
      <c r="H326" t="s">
        <v>28</v>
      </c>
      <c r="I326" s="5">
        <v>225.62</v>
      </c>
      <c r="J326" s="8">
        <v>1</v>
      </c>
      <c r="K326" s="5">
        <v>54.06</v>
      </c>
      <c r="L326" t="s">
        <v>38</v>
      </c>
      <c r="M326">
        <v>2024</v>
      </c>
      <c r="N326">
        <f t="shared" si="5"/>
        <v>9</v>
      </c>
    </row>
    <row r="327" spans="1:14" x14ac:dyDescent="0.25">
      <c r="A327" t="s">
        <v>685</v>
      </c>
      <c r="B327" s="2">
        <v>45543</v>
      </c>
      <c r="C327" t="s">
        <v>111</v>
      </c>
      <c r="D327" t="s">
        <v>66</v>
      </c>
      <c r="E327" t="s">
        <v>180</v>
      </c>
      <c r="F327" t="s">
        <v>18</v>
      </c>
      <c r="G327" t="s">
        <v>54</v>
      </c>
      <c r="H327" t="s">
        <v>55</v>
      </c>
      <c r="I327" s="5">
        <v>5529.96</v>
      </c>
      <c r="J327" s="8">
        <v>6</v>
      </c>
      <c r="K327" s="5">
        <v>1546.14</v>
      </c>
      <c r="L327" t="s">
        <v>21</v>
      </c>
      <c r="M327">
        <v>2024</v>
      </c>
      <c r="N327">
        <f t="shared" si="5"/>
        <v>9</v>
      </c>
    </row>
    <row r="328" spans="1:14" x14ac:dyDescent="0.25">
      <c r="A328" t="s">
        <v>398</v>
      </c>
      <c r="B328" s="2">
        <v>45545</v>
      </c>
      <c r="C328" t="s">
        <v>120</v>
      </c>
      <c r="D328" t="s">
        <v>16</v>
      </c>
      <c r="E328" t="s">
        <v>190</v>
      </c>
      <c r="F328" t="s">
        <v>18</v>
      </c>
      <c r="G328" t="s">
        <v>32</v>
      </c>
      <c r="H328" t="s">
        <v>147</v>
      </c>
      <c r="I328" s="5">
        <v>3087.47</v>
      </c>
      <c r="J328" s="8">
        <v>6</v>
      </c>
      <c r="K328" s="5">
        <v>1329.86</v>
      </c>
      <c r="L328" t="s">
        <v>21</v>
      </c>
      <c r="M328">
        <v>2024</v>
      </c>
      <c r="N328">
        <f t="shared" si="5"/>
        <v>9</v>
      </c>
    </row>
    <row r="329" spans="1:14" x14ac:dyDescent="0.25">
      <c r="A329" t="s">
        <v>680</v>
      </c>
      <c r="B329" s="2">
        <v>45545</v>
      </c>
      <c r="C329" t="s">
        <v>137</v>
      </c>
      <c r="D329" t="s">
        <v>66</v>
      </c>
      <c r="E329" t="s">
        <v>271</v>
      </c>
      <c r="F329" t="s">
        <v>48</v>
      </c>
      <c r="G329" t="s">
        <v>68</v>
      </c>
      <c r="H329" t="s">
        <v>202</v>
      </c>
      <c r="I329" s="5">
        <v>886.52</v>
      </c>
      <c r="J329" s="8">
        <v>1</v>
      </c>
      <c r="K329" s="5">
        <v>168.4</v>
      </c>
      <c r="L329" t="s">
        <v>29</v>
      </c>
      <c r="M329">
        <v>2024</v>
      </c>
      <c r="N329">
        <f t="shared" si="5"/>
        <v>9</v>
      </c>
    </row>
    <row r="330" spans="1:14" x14ac:dyDescent="0.25">
      <c r="A330" t="s">
        <v>235</v>
      </c>
      <c r="B330" s="2">
        <v>45547</v>
      </c>
      <c r="C330" t="s">
        <v>78</v>
      </c>
      <c r="D330" t="s">
        <v>36</v>
      </c>
      <c r="E330" t="s">
        <v>47</v>
      </c>
      <c r="F330" t="s">
        <v>48</v>
      </c>
      <c r="G330" t="s">
        <v>151</v>
      </c>
      <c r="H330" t="s">
        <v>152</v>
      </c>
      <c r="I330" s="5">
        <v>5279.98</v>
      </c>
      <c r="J330" s="8">
        <v>8</v>
      </c>
      <c r="K330" s="5">
        <v>1018.28</v>
      </c>
      <c r="L330" t="s">
        <v>21</v>
      </c>
      <c r="M330">
        <v>2024</v>
      </c>
      <c r="N330">
        <f t="shared" si="5"/>
        <v>9</v>
      </c>
    </row>
    <row r="331" spans="1:14" x14ac:dyDescent="0.25">
      <c r="A331" t="s">
        <v>678</v>
      </c>
      <c r="B331" s="2">
        <v>45548</v>
      </c>
      <c r="C331" t="s">
        <v>84</v>
      </c>
      <c r="D331" t="s">
        <v>52</v>
      </c>
      <c r="E331" t="s">
        <v>107</v>
      </c>
      <c r="F331" t="s">
        <v>18</v>
      </c>
      <c r="G331" t="s">
        <v>43</v>
      </c>
      <c r="H331" t="s">
        <v>44</v>
      </c>
      <c r="I331" s="5">
        <v>184.87</v>
      </c>
      <c r="J331" s="8">
        <v>4</v>
      </c>
      <c r="K331" s="5">
        <v>74.5</v>
      </c>
      <c r="L331" t="s">
        <v>38</v>
      </c>
      <c r="M331">
        <v>2024</v>
      </c>
      <c r="N331">
        <f t="shared" si="5"/>
        <v>9</v>
      </c>
    </row>
    <row r="332" spans="1:14" x14ac:dyDescent="0.25">
      <c r="A332" t="s">
        <v>135</v>
      </c>
      <c r="B332" s="2">
        <v>45549</v>
      </c>
      <c r="C332" t="s">
        <v>92</v>
      </c>
      <c r="D332" t="s">
        <v>66</v>
      </c>
      <c r="E332" t="s">
        <v>67</v>
      </c>
      <c r="F332" t="s">
        <v>18</v>
      </c>
      <c r="G332" t="s">
        <v>19</v>
      </c>
      <c r="H332" t="s">
        <v>72</v>
      </c>
      <c r="I332" s="5">
        <v>710.17</v>
      </c>
      <c r="J332" s="8">
        <v>1</v>
      </c>
      <c r="K332" s="5">
        <v>328.59</v>
      </c>
      <c r="L332" t="s">
        <v>21</v>
      </c>
      <c r="M332">
        <v>2024</v>
      </c>
      <c r="N332">
        <f t="shared" si="5"/>
        <v>9</v>
      </c>
    </row>
    <row r="333" spans="1:14" x14ac:dyDescent="0.25">
      <c r="A333" t="s">
        <v>688</v>
      </c>
      <c r="B333" s="2">
        <v>45550</v>
      </c>
      <c r="C333" t="s">
        <v>114</v>
      </c>
      <c r="D333" t="s">
        <v>36</v>
      </c>
      <c r="E333" t="s">
        <v>47</v>
      </c>
      <c r="F333" t="s">
        <v>48</v>
      </c>
      <c r="G333" t="s">
        <v>68</v>
      </c>
      <c r="H333" t="s">
        <v>202</v>
      </c>
      <c r="I333" s="5">
        <v>2650.13</v>
      </c>
      <c r="J333" s="8">
        <v>3</v>
      </c>
      <c r="K333" s="5">
        <v>787.61</v>
      </c>
      <c r="L333" t="s">
        <v>21</v>
      </c>
      <c r="M333">
        <v>2024</v>
      </c>
      <c r="N333">
        <f t="shared" si="5"/>
        <v>9</v>
      </c>
    </row>
    <row r="334" spans="1:14" x14ac:dyDescent="0.25">
      <c r="A334" t="s">
        <v>592</v>
      </c>
      <c r="B334" s="2">
        <v>45557</v>
      </c>
      <c r="C334" t="s">
        <v>84</v>
      </c>
      <c r="D334" t="s">
        <v>24</v>
      </c>
      <c r="E334" t="s">
        <v>377</v>
      </c>
      <c r="F334" t="s">
        <v>26</v>
      </c>
      <c r="G334" t="s">
        <v>81</v>
      </c>
      <c r="H334" t="s">
        <v>82</v>
      </c>
      <c r="I334" s="5">
        <v>1480.67</v>
      </c>
      <c r="J334" s="8">
        <v>2</v>
      </c>
      <c r="K334" s="5">
        <v>440.03</v>
      </c>
      <c r="L334" t="s">
        <v>21</v>
      </c>
      <c r="M334">
        <v>2024</v>
      </c>
      <c r="N334">
        <f t="shared" si="5"/>
        <v>9</v>
      </c>
    </row>
    <row r="335" spans="1:14" x14ac:dyDescent="0.25">
      <c r="A335" t="s">
        <v>596</v>
      </c>
      <c r="B335" s="2">
        <v>45558</v>
      </c>
      <c r="C335" t="s">
        <v>198</v>
      </c>
      <c r="D335" t="s">
        <v>74</v>
      </c>
      <c r="E335" t="s">
        <v>75</v>
      </c>
      <c r="F335" t="s">
        <v>18</v>
      </c>
      <c r="G335" t="s">
        <v>32</v>
      </c>
      <c r="H335" t="s">
        <v>147</v>
      </c>
      <c r="I335" s="5">
        <v>566.58000000000004</v>
      </c>
      <c r="J335" s="8">
        <v>2</v>
      </c>
      <c r="K335" s="5">
        <v>149.61000000000001</v>
      </c>
      <c r="L335" t="s">
        <v>21</v>
      </c>
      <c r="M335">
        <v>2024</v>
      </c>
      <c r="N335">
        <f t="shared" si="5"/>
        <v>9</v>
      </c>
    </row>
    <row r="336" spans="1:14" x14ac:dyDescent="0.25">
      <c r="A336" t="s">
        <v>605</v>
      </c>
      <c r="B336" s="2">
        <v>45562</v>
      </c>
      <c r="C336" t="s">
        <v>62</v>
      </c>
      <c r="D336" t="s">
        <v>41</v>
      </c>
      <c r="E336" t="s">
        <v>42</v>
      </c>
      <c r="F336" t="s">
        <v>26</v>
      </c>
      <c r="G336" t="s">
        <v>98</v>
      </c>
      <c r="H336" t="s">
        <v>99</v>
      </c>
      <c r="I336" s="5">
        <v>3742.06</v>
      </c>
      <c r="J336" s="8">
        <v>8</v>
      </c>
      <c r="K336" s="5">
        <v>1801.26</v>
      </c>
      <c r="L336" t="s">
        <v>38</v>
      </c>
      <c r="M336">
        <v>2024</v>
      </c>
      <c r="N336">
        <f t="shared" si="5"/>
        <v>9</v>
      </c>
    </row>
    <row r="337" spans="1:14" x14ac:dyDescent="0.25">
      <c r="A337" t="s">
        <v>716</v>
      </c>
      <c r="B337" s="2">
        <v>45562</v>
      </c>
      <c r="C337" t="s">
        <v>62</v>
      </c>
      <c r="D337" t="s">
        <v>125</v>
      </c>
      <c r="E337" t="s">
        <v>146</v>
      </c>
      <c r="F337" t="s">
        <v>26</v>
      </c>
      <c r="G337" t="s">
        <v>27</v>
      </c>
      <c r="H337" t="s">
        <v>101</v>
      </c>
      <c r="I337" s="5">
        <v>2373.94</v>
      </c>
      <c r="J337" s="8">
        <v>4</v>
      </c>
      <c r="K337" s="5">
        <v>1252.73</v>
      </c>
      <c r="L337" t="s">
        <v>38</v>
      </c>
      <c r="M337">
        <v>2024</v>
      </c>
      <c r="N337">
        <f t="shared" si="5"/>
        <v>9</v>
      </c>
    </row>
    <row r="338" spans="1:14" x14ac:dyDescent="0.25">
      <c r="A338" t="s">
        <v>188</v>
      </c>
      <c r="B338" s="2">
        <v>45563</v>
      </c>
      <c r="C338" t="s">
        <v>160</v>
      </c>
      <c r="D338" t="s">
        <v>79</v>
      </c>
      <c r="E338" t="s">
        <v>80</v>
      </c>
      <c r="F338" t="s">
        <v>26</v>
      </c>
      <c r="G338" t="s">
        <v>27</v>
      </c>
      <c r="H338" t="s">
        <v>28</v>
      </c>
      <c r="I338" s="5">
        <v>656.47</v>
      </c>
      <c r="J338" s="8">
        <v>3</v>
      </c>
      <c r="K338" s="5">
        <v>122.5</v>
      </c>
      <c r="L338" t="s">
        <v>29</v>
      </c>
      <c r="M338">
        <v>2024</v>
      </c>
      <c r="N338">
        <f t="shared" si="5"/>
        <v>10</v>
      </c>
    </row>
    <row r="339" spans="1:14" x14ac:dyDescent="0.25">
      <c r="A339" t="s">
        <v>712</v>
      </c>
      <c r="B339" s="2">
        <v>45568</v>
      </c>
      <c r="C339" t="s">
        <v>23</v>
      </c>
      <c r="D339" t="s">
        <v>16</v>
      </c>
      <c r="E339" t="s">
        <v>71</v>
      </c>
      <c r="F339" t="s">
        <v>48</v>
      </c>
      <c r="G339" t="s">
        <v>68</v>
      </c>
      <c r="H339" t="s">
        <v>202</v>
      </c>
      <c r="I339" s="5">
        <v>3048.41</v>
      </c>
      <c r="J339" s="8">
        <v>7</v>
      </c>
      <c r="K339" s="5">
        <v>759.65</v>
      </c>
      <c r="L339" t="s">
        <v>21</v>
      </c>
      <c r="M339">
        <v>2024</v>
      </c>
      <c r="N339">
        <f t="shared" si="5"/>
        <v>10</v>
      </c>
    </row>
    <row r="340" spans="1:14" x14ac:dyDescent="0.25">
      <c r="A340" t="s">
        <v>287</v>
      </c>
      <c r="B340" s="2">
        <v>45569</v>
      </c>
      <c r="C340" t="s">
        <v>65</v>
      </c>
      <c r="D340" t="s">
        <v>74</v>
      </c>
      <c r="E340" t="s">
        <v>75</v>
      </c>
      <c r="F340" t="s">
        <v>18</v>
      </c>
      <c r="G340" t="s">
        <v>19</v>
      </c>
      <c r="H340" t="s">
        <v>72</v>
      </c>
      <c r="I340" s="5">
        <v>3127.68</v>
      </c>
      <c r="J340" s="8">
        <v>7</v>
      </c>
      <c r="K340" s="5">
        <v>867.3</v>
      </c>
      <c r="L340" t="s">
        <v>21</v>
      </c>
      <c r="M340">
        <v>2024</v>
      </c>
      <c r="N340">
        <f t="shared" si="5"/>
        <v>10</v>
      </c>
    </row>
    <row r="341" spans="1:14" x14ac:dyDescent="0.25">
      <c r="A341" t="s">
        <v>262</v>
      </c>
      <c r="B341" s="2">
        <v>45570</v>
      </c>
      <c r="C341" t="s">
        <v>40</v>
      </c>
      <c r="D341" t="s">
        <v>79</v>
      </c>
      <c r="E341" t="s">
        <v>80</v>
      </c>
      <c r="F341" t="s">
        <v>18</v>
      </c>
      <c r="G341" t="s">
        <v>54</v>
      </c>
      <c r="H341" t="s">
        <v>55</v>
      </c>
      <c r="I341" s="5">
        <v>5423.29</v>
      </c>
      <c r="J341" s="8">
        <v>7</v>
      </c>
      <c r="K341" s="5">
        <v>2433.0700000000002</v>
      </c>
      <c r="L341" t="s">
        <v>21</v>
      </c>
      <c r="M341">
        <v>2024</v>
      </c>
      <c r="N341">
        <f t="shared" si="5"/>
        <v>10</v>
      </c>
    </row>
    <row r="342" spans="1:14" x14ac:dyDescent="0.25">
      <c r="A342" t="s">
        <v>335</v>
      </c>
      <c r="B342" s="2">
        <v>45570</v>
      </c>
      <c r="C342" t="s">
        <v>124</v>
      </c>
      <c r="D342" t="s">
        <v>41</v>
      </c>
      <c r="E342" t="s">
        <v>42</v>
      </c>
      <c r="F342" t="s">
        <v>48</v>
      </c>
      <c r="G342" t="s">
        <v>49</v>
      </c>
      <c r="H342" t="s">
        <v>50</v>
      </c>
      <c r="I342" s="5">
        <v>226.58</v>
      </c>
      <c r="J342" s="8">
        <v>8</v>
      </c>
      <c r="K342" s="5">
        <v>81</v>
      </c>
      <c r="L342" t="s">
        <v>21</v>
      </c>
      <c r="M342">
        <v>2024</v>
      </c>
      <c r="N342">
        <f t="shared" si="5"/>
        <v>10</v>
      </c>
    </row>
    <row r="343" spans="1:14" x14ac:dyDescent="0.25">
      <c r="A343" t="s">
        <v>694</v>
      </c>
      <c r="B343" s="2">
        <v>45570</v>
      </c>
      <c r="C343" t="s">
        <v>65</v>
      </c>
      <c r="D343" t="s">
        <v>52</v>
      </c>
      <c r="E343" t="s">
        <v>53</v>
      </c>
      <c r="F343" t="s">
        <v>26</v>
      </c>
      <c r="G343" t="s">
        <v>27</v>
      </c>
      <c r="H343" t="s">
        <v>162</v>
      </c>
      <c r="I343" s="5">
        <v>659.27</v>
      </c>
      <c r="J343" s="8">
        <v>2</v>
      </c>
      <c r="K343" s="5">
        <v>118.81</v>
      </c>
      <c r="L343" t="s">
        <v>21</v>
      </c>
      <c r="M343">
        <v>2024</v>
      </c>
      <c r="N343">
        <f t="shared" si="5"/>
        <v>10</v>
      </c>
    </row>
    <row r="344" spans="1:14" x14ac:dyDescent="0.25">
      <c r="A344" t="s">
        <v>325</v>
      </c>
      <c r="B344" s="2">
        <v>45571</v>
      </c>
      <c r="C344" t="s">
        <v>92</v>
      </c>
      <c r="D344" t="s">
        <v>24</v>
      </c>
      <c r="E344" t="s">
        <v>25</v>
      </c>
      <c r="F344" t="s">
        <v>18</v>
      </c>
      <c r="G344" t="s">
        <v>19</v>
      </c>
      <c r="H344" t="s">
        <v>20</v>
      </c>
      <c r="I344" s="5">
        <v>1077.8699999999999</v>
      </c>
      <c r="J344" s="8">
        <v>3</v>
      </c>
      <c r="K344" s="5">
        <v>256.98</v>
      </c>
      <c r="L344" t="s">
        <v>21</v>
      </c>
      <c r="M344">
        <v>2024</v>
      </c>
      <c r="N344">
        <f t="shared" si="5"/>
        <v>10</v>
      </c>
    </row>
    <row r="345" spans="1:14" x14ac:dyDescent="0.25">
      <c r="A345" t="s">
        <v>550</v>
      </c>
      <c r="B345" s="2">
        <v>45572</v>
      </c>
      <c r="C345" t="s">
        <v>31</v>
      </c>
      <c r="D345" t="s">
        <v>74</v>
      </c>
      <c r="E345" t="s">
        <v>97</v>
      </c>
      <c r="F345" t="s">
        <v>18</v>
      </c>
      <c r="G345" t="s">
        <v>54</v>
      </c>
      <c r="H345" t="s">
        <v>55</v>
      </c>
      <c r="I345" s="5">
        <v>1024.83</v>
      </c>
      <c r="J345" s="8">
        <v>6</v>
      </c>
      <c r="K345" s="5">
        <v>549.73</v>
      </c>
      <c r="L345" t="s">
        <v>29</v>
      </c>
      <c r="M345">
        <v>2024</v>
      </c>
      <c r="N345">
        <f t="shared" si="5"/>
        <v>10</v>
      </c>
    </row>
    <row r="346" spans="1:14" x14ac:dyDescent="0.25">
      <c r="A346" t="s">
        <v>473</v>
      </c>
      <c r="B346" s="2">
        <v>45574</v>
      </c>
      <c r="C346" t="s">
        <v>124</v>
      </c>
      <c r="D346" t="s">
        <v>86</v>
      </c>
      <c r="E346" t="s">
        <v>87</v>
      </c>
      <c r="F346" t="s">
        <v>48</v>
      </c>
      <c r="G346" t="s">
        <v>94</v>
      </c>
      <c r="H346" t="s">
        <v>104</v>
      </c>
      <c r="I346" s="5">
        <v>4474.84</v>
      </c>
      <c r="J346" s="8">
        <v>7</v>
      </c>
      <c r="K346" s="5">
        <v>1412.71</v>
      </c>
      <c r="L346" t="s">
        <v>21</v>
      </c>
      <c r="M346">
        <v>2024</v>
      </c>
      <c r="N346">
        <f t="shared" si="5"/>
        <v>10</v>
      </c>
    </row>
    <row r="347" spans="1:14" x14ac:dyDescent="0.25">
      <c r="A347" t="s">
        <v>329</v>
      </c>
      <c r="B347" s="2">
        <v>45575</v>
      </c>
      <c r="C347" t="s">
        <v>114</v>
      </c>
      <c r="D347" t="s">
        <v>16</v>
      </c>
      <c r="E347" t="s">
        <v>190</v>
      </c>
      <c r="F347" t="s">
        <v>26</v>
      </c>
      <c r="G347" t="s">
        <v>98</v>
      </c>
      <c r="H347" t="s">
        <v>99</v>
      </c>
      <c r="I347" s="5">
        <v>4750.8900000000003</v>
      </c>
      <c r="J347" s="8">
        <v>7</v>
      </c>
      <c r="K347" s="5">
        <v>1636.64</v>
      </c>
      <c r="L347" t="s">
        <v>21</v>
      </c>
      <c r="M347">
        <v>2024</v>
      </c>
      <c r="N347">
        <f t="shared" si="5"/>
        <v>10</v>
      </c>
    </row>
    <row r="348" spans="1:14" x14ac:dyDescent="0.25">
      <c r="A348" t="s">
        <v>612</v>
      </c>
      <c r="B348" s="2">
        <v>45575</v>
      </c>
      <c r="C348" t="s">
        <v>78</v>
      </c>
      <c r="D348" t="s">
        <v>52</v>
      </c>
      <c r="E348" t="s">
        <v>144</v>
      </c>
      <c r="F348" t="s">
        <v>18</v>
      </c>
      <c r="G348" t="s">
        <v>32</v>
      </c>
      <c r="H348" t="s">
        <v>147</v>
      </c>
      <c r="I348" s="5">
        <v>2136.08</v>
      </c>
      <c r="J348" s="8">
        <v>4</v>
      </c>
      <c r="K348" s="5">
        <v>1047.74</v>
      </c>
      <c r="L348" t="s">
        <v>21</v>
      </c>
      <c r="M348">
        <v>2024</v>
      </c>
      <c r="N348">
        <f t="shared" si="5"/>
        <v>10</v>
      </c>
    </row>
    <row r="349" spans="1:14" x14ac:dyDescent="0.25">
      <c r="A349" t="s">
        <v>268</v>
      </c>
      <c r="B349" s="2">
        <v>45576</v>
      </c>
      <c r="C349" t="s">
        <v>65</v>
      </c>
      <c r="D349" t="s">
        <v>74</v>
      </c>
      <c r="E349" t="s">
        <v>97</v>
      </c>
      <c r="F349" t="s">
        <v>48</v>
      </c>
      <c r="G349" t="s">
        <v>68</v>
      </c>
      <c r="H349" t="s">
        <v>69</v>
      </c>
      <c r="I349" s="5">
        <v>1397.29</v>
      </c>
      <c r="J349" s="8">
        <v>3</v>
      </c>
      <c r="K349" s="5">
        <v>408.3</v>
      </c>
      <c r="L349" t="s">
        <v>21</v>
      </c>
      <c r="M349">
        <v>2024</v>
      </c>
      <c r="N349">
        <f t="shared" si="5"/>
        <v>10</v>
      </c>
    </row>
    <row r="350" spans="1:14" x14ac:dyDescent="0.25">
      <c r="A350" t="s">
        <v>671</v>
      </c>
      <c r="B350" s="2">
        <v>45576</v>
      </c>
      <c r="C350" t="s">
        <v>120</v>
      </c>
      <c r="D350" t="s">
        <v>79</v>
      </c>
      <c r="E350" t="s">
        <v>138</v>
      </c>
      <c r="F350" t="s">
        <v>48</v>
      </c>
      <c r="G350" t="s">
        <v>59</v>
      </c>
      <c r="H350" t="s">
        <v>142</v>
      </c>
      <c r="I350" s="5">
        <v>510.57</v>
      </c>
      <c r="J350" s="8">
        <v>1</v>
      </c>
      <c r="K350" s="5">
        <v>121.34</v>
      </c>
      <c r="L350" t="s">
        <v>21</v>
      </c>
      <c r="M350">
        <v>2024</v>
      </c>
      <c r="N350">
        <f t="shared" si="5"/>
        <v>10</v>
      </c>
    </row>
    <row r="351" spans="1:14" x14ac:dyDescent="0.25">
      <c r="A351" t="s">
        <v>466</v>
      </c>
      <c r="B351" s="2">
        <v>45577</v>
      </c>
      <c r="C351" t="s">
        <v>40</v>
      </c>
      <c r="D351" t="s">
        <v>41</v>
      </c>
      <c r="E351" t="s">
        <v>58</v>
      </c>
      <c r="F351" t="s">
        <v>48</v>
      </c>
      <c r="G351" t="s">
        <v>94</v>
      </c>
      <c r="H351" t="s">
        <v>104</v>
      </c>
      <c r="I351" s="5">
        <v>1002.67</v>
      </c>
      <c r="J351" s="8">
        <v>2</v>
      </c>
      <c r="K351" s="5">
        <v>465.74</v>
      </c>
      <c r="L351" t="s">
        <v>29</v>
      </c>
      <c r="M351">
        <v>2024</v>
      </c>
      <c r="N351">
        <f t="shared" si="5"/>
        <v>10</v>
      </c>
    </row>
    <row r="352" spans="1:14" x14ac:dyDescent="0.25">
      <c r="A352" t="s">
        <v>614</v>
      </c>
      <c r="B352" s="2">
        <v>45578</v>
      </c>
      <c r="C352" t="s">
        <v>124</v>
      </c>
      <c r="D352" t="s">
        <v>16</v>
      </c>
      <c r="E352" t="s">
        <v>190</v>
      </c>
      <c r="F352" t="s">
        <v>26</v>
      </c>
      <c r="G352" t="s">
        <v>27</v>
      </c>
      <c r="H352" t="s">
        <v>162</v>
      </c>
      <c r="I352" s="5">
        <v>5049.34</v>
      </c>
      <c r="J352" s="8">
        <v>7</v>
      </c>
      <c r="K352" s="5">
        <v>938.12</v>
      </c>
      <c r="L352" t="s">
        <v>38</v>
      </c>
      <c r="M352">
        <v>2024</v>
      </c>
      <c r="N352">
        <f t="shared" si="5"/>
        <v>10</v>
      </c>
    </row>
    <row r="353" spans="1:14" x14ac:dyDescent="0.25">
      <c r="A353" t="s">
        <v>248</v>
      </c>
      <c r="B353" s="2">
        <v>45579</v>
      </c>
      <c r="C353" t="s">
        <v>31</v>
      </c>
      <c r="D353" t="s">
        <v>125</v>
      </c>
      <c r="E353" t="s">
        <v>126</v>
      </c>
      <c r="F353" t="s">
        <v>26</v>
      </c>
      <c r="G353" t="s">
        <v>81</v>
      </c>
      <c r="H353" t="s">
        <v>112</v>
      </c>
      <c r="I353" s="5">
        <v>229.29</v>
      </c>
      <c r="J353" s="8">
        <v>1</v>
      </c>
      <c r="K353" s="5">
        <v>61.82</v>
      </c>
      <c r="L353" t="s">
        <v>21</v>
      </c>
      <c r="M353">
        <v>2024</v>
      </c>
      <c r="N353">
        <f t="shared" si="5"/>
        <v>10</v>
      </c>
    </row>
    <row r="354" spans="1:14" x14ac:dyDescent="0.25">
      <c r="A354" t="s">
        <v>602</v>
      </c>
      <c r="B354" s="2">
        <v>45579</v>
      </c>
      <c r="C354" t="s">
        <v>120</v>
      </c>
      <c r="D354" t="s">
        <v>24</v>
      </c>
      <c r="E354" t="s">
        <v>377</v>
      </c>
      <c r="F354" t="s">
        <v>18</v>
      </c>
      <c r="G354" t="s">
        <v>43</v>
      </c>
      <c r="H354" t="s">
        <v>44</v>
      </c>
      <c r="I354" s="5">
        <v>3826.08</v>
      </c>
      <c r="J354" s="8">
        <v>6</v>
      </c>
      <c r="K354" s="5">
        <v>1048.5</v>
      </c>
      <c r="L354" t="s">
        <v>21</v>
      </c>
      <c r="M354">
        <v>2024</v>
      </c>
      <c r="N354">
        <f t="shared" si="5"/>
        <v>10</v>
      </c>
    </row>
    <row r="355" spans="1:14" x14ac:dyDescent="0.25">
      <c r="A355" t="s">
        <v>532</v>
      </c>
      <c r="B355" s="2">
        <v>45583</v>
      </c>
      <c r="C355" t="s">
        <v>120</v>
      </c>
      <c r="D355" t="s">
        <v>41</v>
      </c>
      <c r="E355" t="s">
        <v>63</v>
      </c>
      <c r="F355" t="s">
        <v>48</v>
      </c>
      <c r="G355" t="s">
        <v>130</v>
      </c>
      <c r="H355" t="s">
        <v>131</v>
      </c>
      <c r="I355" s="5">
        <v>27.95</v>
      </c>
      <c r="J355" s="8">
        <v>4</v>
      </c>
      <c r="K355" s="5">
        <v>9.9</v>
      </c>
      <c r="L355" t="s">
        <v>21</v>
      </c>
      <c r="M355">
        <v>2024</v>
      </c>
      <c r="N355">
        <f t="shared" si="5"/>
        <v>10</v>
      </c>
    </row>
    <row r="356" spans="1:14" x14ac:dyDescent="0.25">
      <c r="A356" t="s">
        <v>237</v>
      </c>
      <c r="B356" s="2">
        <v>45585</v>
      </c>
      <c r="C356" t="s">
        <v>62</v>
      </c>
      <c r="D356" t="s">
        <v>79</v>
      </c>
      <c r="E356" t="s">
        <v>149</v>
      </c>
      <c r="F356" t="s">
        <v>18</v>
      </c>
      <c r="G356" t="s">
        <v>43</v>
      </c>
      <c r="H356" t="s">
        <v>76</v>
      </c>
      <c r="I356" s="5">
        <v>1525.62</v>
      </c>
      <c r="J356" s="8">
        <v>4</v>
      </c>
      <c r="K356" s="5">
        <v>444.23</v>
      </c>
      <c r="L356" t="s">
        <v>29</v>
      </c>
      <c r="M356">
        <v>2024</v>
      </c>
      <c r="N356">
        <f t="shared" si="5"/>
        <v>10</v>
      </c>
    </row>
    <row r="357" spans="1:14" x14ac:dyDescent="0.25">
      <c r="A357" t="s">
        <v>544</v>
      </c>
      <c r="B357" s="2">
        <v>45587</v>
      </c>
      <c r="C357" t="s">
        <v>31</v>
      </c>
      <c r="D357" t="s">
        <v>74</v>
      </c>
      <c r="E357" t="s">
        <v>213</v>
      </c>
      <c r="F357" t="s">
        <v>48</v>
      </c>
      <c r="G357" t="s">
        <v>68</v>
      </c>
      <c r="H357" t="s">
        <v>69</v>
      </c>
      <c r="I357" s="5">
        <v>3228.77</v>
      </c>
      <c r="J357" s="8">
        <v>5</v>
      </c>
      <c r="K357" s="5">
        <v>1669.01</v>
      </c>
      <c r="L357" t="s">
        <v>38</v>
      </c>
      <c r="M357">
        <v>2024</v>
      </c>
      <c r="N357">
        <f t="shared" si="5"/>
        <v>10</v>
      </c>
    </row>
    <row r="358" spans="1:14" x14ac:dyDescent="0.25">
      <c r="A358" t="s">
        <v>297</v>
      </c>
      <c r="B358" s="2">
        <v>45589</v>
      </c>
      <c r="C358" t="s">
        <v>160</v>
      </c>
      <c r="D358" t="s">
        <v>52</v>
      </c>
      <c r="E358" t="s">
        <v>144</v>
      </c>
      <c r="F358" t="s">
        <v>26</v>
      </c>
      <c r="G358" t="s">
        <v>27</v>
      </c>
      <c r="H358" t="s">
        <v>101</v>
      </c>
      <c r="I358" s="5">
        <v>4736.45</v>
      </c>
      <c r="J358" s="8">
        <v>8</v>
      </c>
      <c r="K358" s="5">
        <v>1369.4</v>
      </c>
      <c r="L358" t="s">
        <v>21</v>
      </c>
      <c r="M358">
        <v>2024</v>
      </c>
      <c r="N358">
        <f t="shared" si="5"/>
        <v>10</v>
      </c>
    </row>
    <row r="359" spans="1:14" x14ac:dyDescent="0.25">
      <c r="A359" t="s">
        <v>580</v>
      </c>
      <c r="B359" s="2">
        <v>45589</v>
      </c>
      <c r="C359" t="s">
        <v>160</v>
      </c>
      <c r="D359" t="s">
        <v>66</v>
      </c>
      <c r="E359" t="s">
        <v>67</v>
      </c>
      <c r="F359" t="s">
        <v>18</v>
      </c>
      <c r="G359" t="s">
        <v>54</v>
      </c>
      <c r="H359" t="s">
        <v>55</v>
      </c>
      <c r="I359" s="5">
        <v>98.47</v>
      </c>
      <c r="J359" s="8">
        <v>7</v>
      </c>
      <c r="K359" s="5">
        <v>25.75</v>
      </c>
      <c r="L359" t="s">
        <v>38</v>
      </c>
      <c r="M359">
        <v>2024</v>
      </c>
      <c r="N359">
        <f t="shared" si="5"/>
        <v>10</v>
      </c>
    </row>
    <row r="360" spans="1:14" x14ac:dyDescent="0.25">
      <c r="A360" t="s">
        <v>520</v>
      </c>
      <c r="B360" s="2">
        <v>45592</v>
      </c>
      <c r="C360" t="s">
        <v>62</v>
      </c>
      <c r="D360" t="s">
        <v>41</v>
      </c>
      <c r="E360" t="s">
        <v>58</v>
      </c>
      <c r="F360" t="s">
        <v>18</v>
      </c>
      <c r="G360" t="s">
        <v>54</v>
      </c>
      <c r="H360" t="s">
        <v>55</v>
      </c>
      <c r="I360" s="5">
        <v>546.88</v>
      </c>
      <c r="J360" s="8">
        <v>6</v>
      </c>
      <c r="K360" s="5">
        <v>240.62</v>
      </c>
      <c r="L360" t="s">
        <v>29</v>
      </c>
      <c r="M360">
        <v>2024</v>
      </c>
      <c r="N360">
        <f t="shared" si="5"/>
        <v>10</v>
      </c>
    </row>
    <row r="361" spans="1:14" x14ac:dyDescent="0.25">
      <c r="A361" t="s">
        <v>514</v>
      </c>
      <c r="B361" s="2">
        <v>45593</v>
      </c>
      <c r="C361" t="s">
        <v>133</v>
      </c>
      <c r="D361" t="s">
        <v>24</v>
      </c>
      <c r="E361" t="s">
        <v>25</v>
      </c>
      <c r="F361" t="s">
        <v>18</v>
      </c>
      <c r="G361" t="s">
        <v>54</v>
      </c>
      <c r="H361" t="s">
        <v>55</v>
      </c>
      <c r="I361" s="5">
        <v>1151.67</v>
      </c>
      <c r="J361" s="8">
        <v>2</v>
      </c>
      <c r="K361" s="5">
        <v>324.87</v>
      </c>
      <c r="L361" t="s">
        <v>21</v>
      </c>
      <c r="M361">
        <v>2024</v>
      </c>
      <c r="N361">
        <f t="shared" si="5"/>
        <v>10</v>
      </c>
    </row>
    <row r="362" spans="1:14" x14ac:dyDescent="0.25">
      <c r="A362" t="s">
        <v>652</v>
      </c>
      <c r="B362" s="2">
        <v>45594</v>
      </c>
      <c r="C362" t="s">
        <v>114</v>
      </c>
      <c r="D362" t="s">
        <v>79</v>
      </c>
      <c r="E362" t="s">
        <v>149</v>
      </c>
      <c r="F362" t="s">
        <v>18</v>
      </c>
      <c r="G362" t="s">
        <v>19</v>
      </c>
      <c r="H362" t="s">
        <v>72</v>
      </c>
      <c r="I362" s="5">
        <v>2264.88</v>
      </c>
      <c r="J362" s="8">
        <v>4</v>
      </c>
      <c r="K362" s="5">
        <v>1013.7</v>
      </c>
      <c r="L362" t="s">
        <v>21</v>
      </c>
      <c r="M362">
        <v>2024</v>
      </c>
      <c r="N362">
        <f t="shared" si="5"/>
        <v>10</v>
      </c>
    </row>
    <row r="363" spans="1:14" x14ac:dyDescent="0.25">
      <c r="A363" t="s">
        <v>370</v>
      </c>
      <c r="B363" s="2">
        <v>45596</v>
      </c>
      <c r="C363" t="s">
        <v>78</v>
      </c>
      <c r="D363" t="s">
        <v>86</v>
      </c>
      <c r="E363" t="s">
        <v>118</v>
      </c>
      <c r="F363" t="s">
        <v>48</v>
      </c>
      <c r="G363" t="s">
        <v>151</v>
      </c>
      <c r="H363" t="s">
        <v>174</v>
      </c>
      <c r="I363" s="5">
        <v>1146.8900000000001</v>
      </c>
      <c r="J363" s="8">
        <v>3</v>
      </c>
      <c r="K363" s="5">
        <v>586.29</v>
      </c>
      <c r="L363" t="s">
        <v>38</v>
      </c>
      <c r="M363">
        <v>2024</v>
      </c>
      <c r="N363">
        <f t="shared" si="5"/>
        <v>11</v>
      </c>
    </row>
    <row r="364" spans="1:14" x14ac:dyDescent="0.25">
      <c r="A364" t="s">
        <v>695</v>
      </c>
      <c r="B364" s="2">
        <v>45598</v>
      </c>
      <c r="C364" t="s">
        <v>114</v>
      </c>
      <c r="D364" t="s">
        <v>36</v>
      </c>
      <c r="E364" t="s">
        <v>128</v>
      </c>
      <c r="F364" t="s">
        <v>48</v>
      </c>
      <c r="G364" t="s">
        <v>68</v>
      </c>
      <c r="H364" t="s">
        <v>69</v>
      </c>
      <c r="I364" s="5">
        <v>106.84</v>
      </c>
      <c r="J364" s="8">
        <v>2</v>
      </c>
      <c r="K364" s="5">
        <v>24.51</v>
      </c>
      <c r="L364" t="s">
        <v>38</v>
      </c>
      <c r="M364">
        <v>2024</v>
      </c>
      <c r="N364">
        <f t="shared" si="5"/>
        <v>11</v>
      </c>
    </row>
    <row r="365" spans="1:14" x14ac:dyDescent="0.25">
      <c r="A365" t="s">
        <v>570</v>
      </c>
      <c r="B365" s="2">
        <v>45601</v>
      </c>
      <c r="C365" t="s">
        <v>15</v>
      </c>
      <c r="D365" t="s">
        <v>52</v>
      </c>
      <c r="E365" t="s">
        <v>107</v>
      </c>
      <c r="F365" t="s">
        <v>18</v>
      </c>
      <c r="G365" t="s">
        <v>54</v>
      </c>
      <c r="H365" t="s">
        <v>55</v>
      </c>
      <c r="I365" s="5">
        <v>4124.95</v>
      </c>
      <c r="J365" s="8">
        <v>5</v>
      </c>
      <c r="K365" s="5">
        <v>1758.95</v>
      </c>
      <c r="L365" t="s">
        <v>38</v>
      </c>
      <c r="M365">
        <v>2024</v>
      </c>
      <c r="N365">
        <f t="shared" si="5"/>
        <v>11</v>
      </c>
    </row>
    <row r="366" spans="1:14" x14ac:dyDescent="0.25">
      <c r="A366" t="s">
        <v>185</v>
      </c>
      <c r="B366" s="2">
        <v>45602</v>
      </c>
      <c r="C366" t="s">
        <v>62</v>
      </c>
      <c r="D366" t="s">
        <v>36</v>
      </c>
      <c r="E366" t="s">
        <v>37</v>
      </c>
      <c r="F366" t="s">
        <v>48</v>
      </c>
      <c r="G366" t="s">
        <v>49</v>
      </c>
      <c r="H366" t="s">
        <v>50</v>
      </c>
      <c r="I366" s="5">
        <v>1094.56</v>
      </c>
      <c r="J366" s="8">
        <v>3</v>
      </c>
      <c r="K366" s="5">
        <v>262.75</v>
      </c>
      <c r="L366" t="s">
        <v>38</v>
      </c>
      <c r="M366">
        <v>2024</v>
      </c>
      <c r="N366">
        <f t="shared" si="5"/>
        <v>11</v>
      </c>
    </row>
    <row r="367" spans="1:14" x14ac:dyDescent="0.25">
      <c r="A367" t="s">
        <v>222</v>
      </c>
      <c r="B367" s="2">
        <v>45602</v>
      </c>
      <c r="C367" t="s">
        <v>23</v>
      </c>
      <c r="D367" t="s">
        <v>16</v>
      </c>
      <c r="E367" t="s">
        <v>71</v>
      </c>
      <c r="F367" t="s">
        <v>18</v>
      </c>
      <c r="G367" t="s">
        <v>19</v>
      </c>
      <c r="H367" t="s">
        <v>20</v>
      </c>
      <c r="I367" s="5">
        <v>280.44</v>
      </c>
      <c r="J367" s="8">
        <v>1</v>
      </c>
      <c r="K367" s="5">
        <v>77.38</v>
      </c>
      <c r="L367" t="s">
        <v>21</v>
      </c>
      <c r="M367">
        <v>2024</v>
      </c>
      <c r="N367">
        <f t="shared" si="5"/>
        <v>11</v>
      </c>
    </row>
    <row r="368" spans="1:14" x14ac:dyDescent="0.25">
      <c r="A368" t="s">
        <v>636</v>
      </c>
      <c r="B368" s="2">
        <v>45602</v>
      </c>
      <c r="C368" t="s">
        <v>78</v>
      </c>
      <c r="D368" t="s">
        <v>24</v>
      </c>
      <c r="E368" t="s">
        <v>25</v>
      </c>
      <c r="F368" t="s">
        <v>18</v>
      </c>
      <c r="G368" t="s">
        <v>32</v>
      </c>
      <c r="H368" t="s">
        <v>33</v>
      </c>
      <c r="I368" s="5">
        <v>1481.38</v>
      </c>
      <c r="J368" s="8">
        <v>3</v>
      </c>
      <c r="K368" s="5">
        <v>574.35</v>
      </c>
      <c r="L368" t="s">
        <v>38</v>
      </c>
      <c r="M368">
        <v>2024</v>
      </c>
      <c r="N368">
        <f t="shared" si="5"/>
        <v>11</v>
      </c>
    </row>
    <row r="369" spans="1:14" x14ac:dyDescent="0.25">
      <c r="A369" t="s">
        <v>534</v>
      </c>
      <c r="B369" s="2">
        <v>45603</v>
      </c>
      <c r="C369" t="s">
        <v>120</v>
      </c>
      <c r="D369" t="s">
        <v>52</v>
      </c>
      <c r="E369" t="s">
        <v>53</v>
      </c>
      <c r="F369" t="s">
        <v>48</v>
      </c>
      <c r="G369" t="s">
        <v>49</v>
      </c>
      <c r="H369" t="s">
        <v>158</v>
      </c>
      <c r="I369" s="5">
        <v>14.4</v>
      </c>
      <c r="J369" s="8">
        <v>1</v>
      </c>
      <c r="K369" s="5">
        <v>3.83</v>
      </c>
      <c r="L369" t="s">
        <v>21</v>
      </c>
      <c r="M369">
        <v>2024</v>
      </c>
      <c r="N369">
        <f t="shared" si="5"/>
        <v>11</v>
      </c>
    </row>
    <row r="370" spans="1:14" x14ac:dyDescent="0.25">
      <c r="A370" t="s">
        <v>326</v>
      </c>
      <c r="B370" s="2">
        <v>45606</v>
      </c>
      <c r="C370" t="s">
        <v>120</v>
      </c>
      <c r="D370" t="s">
        <v>16</v>
      </c>
      <c r="E370" t="s">
        <v>190</v>
      </c>
      <c r="F370" t="s">
        <v>26</v>
      </c>
      <c r="G370" t="s">
        <v>27</v>
      </c>
      <c r="H370" t="s">
        <v>28</v>
      </c>
      <c r="I370" s="5">
        <v>5472.29</v>
      </c>
      <c r="J370" s="8">
        <v>7</v>
      </c>
      <c r="K370" s="5">
        <v>2935.2</v>
      </c>
      <c r="L370" t="s">
        <v>38</v>
      </c>
      <c r="M370">
        <v>2024</v>
      </c>
      <c r="N370">
        <f t="shared" si="5"/>
        <v>11</v>
      </c>
    </row>
    <row r="371" spans="1:14" x14ac:dyDescent="0.25">
      <c r="A371" t="s">
        <v>334</v>
      </c>
      <c r="B371" s="2">
        <v>45607</v>
      </c>
      <c r="C371" t="s">
        <v>124</v>
      </c>
      <c r="D371" t="s">
        <v>79</v>
      </c>
      <c r="E371" t="s">
        <v>80</v>
      </c>
      <c r="F371" t="s">
        <v>26</v>
      </c>
      <c r="G371" t="s">
        <v>81</v>
      </c>
      <c r="H371" t="s">
        <v>112</v>
      </c>
      <c r="I371" s="5">
        <v>3718.76</v>
      </c>
      <c r="J371" s="8">
        <v>7</v>
      </c>
      <c r="K371" s="5">
        <v>1675.64</v>
      </c>
      <c r="L371" t="s">
        <v>29</v>
      </c>
      <c r="M371">
        <v>2024</v>
      </c>
      <c r="N371">
        <f t="shared" si="5"/>
        <v>11</v>
      </c>
    </row>
    <row r="372" spans="1:14" x14ac:dyDescent="0.25">
      <c r="A372" t="s">
        <v>432</v>
      </c>
      <c r="B372" s="2">
        <v>45608</v>
      </c>
      <c r="C372" t="s">
        <v>31</v>
      </c>
      <c r="D372" t="s">
        <v>66</v>
      </c>
      <c r="E372" t="s">
        <v>271</v>
      </c>
      <c r="F372" t="s">
        <v>18</v>
      </c>
      <c r="G372" t="s">
        <v>54</v>
      </c>
      <c r="H372" t="s">
        <v>108</v>
      </c>
      <c r="I372" s="5">
        <v>1090.1500000000001</v>
      </c>
      <c r="J372" s="8">
        <v>8</v>
      </c>
      <c r="K372" s="5">
        <v>352.95</v>
      </c>
      <c r="L372" t="s">
        <v>21</v>
      </c>
      <c r="M372">
        <v>2024</v>
      </c>
      <c r="N372">
        <f t="shared" si="5"/>
        <v>11</v>
      </c>
    </row>
    <row r="373" spans="1:14" x14ac:dyDescent="0.25">
      <c r="A373" t="s">
        <v>373</v>
      </c>
      <c r="B373" s="2">
        <v>45613</v>
      </c>
      <c r="C373" t="s">
        <v>57</v>
      </c>
      <c r="D373" t="s">
        <v>66</v>
      </c>
      <c r="E373" t="s">
        <v>67</v>
      </c>
      <c r="F373" t="s">
        <v>48</v>
      </c>
      <c r="G373" t="s">
        <v>130</v>
      </c>
      <c r="H373" t="s">
        <v>139</v>
      </c>
      <c r="I373" s="5">
        <v>512.29</v>
      </c>
      <c r="J373" s="8">
        <v>1</v>
      </c>
      <c r="K373" s="5">
        <v>112.96</v>
      </c>
      <c r="L373" t="s">
        <v>38</v>
      </c>
      <c r="M373">
        <v>2024</v>
      </c>
      <c r="N373">
        <f t="shared" si="5"/>
        <v>11</v>
      </c>
    </row>
    <row r="374" spans="1:14" x14ac:dyDescent="0.25">
      <c r="A374" t="s">
        <v>661</v>
      </c>
      <c r="B374" s="2">
        <v>45614</v>
      </c>
      <c r="C374" t="s">
        <v>84</v>
      </c>
      <c r="D374" t="s">
        <v>86</v>
      </c>
      <c r="E374" t="s">
        <v>87</v>
      </c>
      <c r="F374" t="s">
        <v>48</v>
      </c>
      <c r="G374" t="s">
        <v>130</v>
      </c>
      <c r="H374" t="s">
        <v>139</v>
      </c>
      <c r="I374" s="5">
        <v>906.5</v>
      </c>
      <c r="J374" s="8">
        <v>2</v>
      </c>
      <c r="K374" s="5">
        <v>279.85000000000002</v>
      </c>
      <c r="L374" t="s">
        <v>21</v>
      </c>
      <c r="M374">
        <v>2024</v>
      </c>
      <c r="N374">
        <f t="shared" si="5"/>
        <v>11</v>
      </c>
    </row>
    <row r="375" spans="1:14" x14ac:dyDescent="0.25">
      <c r="A375" t="s">
        <v>709</v>
      </c>
      <c r="B375" s="2">
        <v>45615</v>
      </c>
      <c r="C375" t="s">
        <v>84</v>
      </c>
      <c r="D375" t="s">
        <v>36</v>
      </c>
      <c r="E375" t="s">
        <v>128</v>
      </c>
      <c r="F375" t="s">
        <v>26</v>
      </c>
      <c r="G375" t="s">
        <v>98</v>
      </c>
      <c r="H375" t="s">
        <v>99</v>
      </c>
      <c r="I375" s="5">
        <v>2901.71</v>
      </c>
      <c r="J375" s="8">
        <v>4</v>
      </c>
      <c r="K375" s="5">
        <v>1568.41</v>
      </c>
      <c r="L375" t="s">
        <v>38</v>
      </c>
      <c r="M375">
        <v>2024</v>
      </c>
      <c r="N375">
        <f t="shared" si="5"/>
        <v>11</v>
      </c>
    </row>
    <row r="376" spans="1:14" x14ac:dyDescent="0.25">
      <c r="A376" t="s">
        <v>521</v>
      </c>
      <c r="B376" s="2">
        <v>45617</v>
      </c>
      <c r="C376" t="s">
        <v>133</v>
      </c>
      <c r="D376" t="s">
        <v>41</v>
      </c>
      <c r="E376" t="s">
        <v>63</v>
      </c>
      <c r="F376" t="s">
        <v>48</v>
      </c>
      <c r="G376" t="s">
        <v>130</v>
      </c>
      <c r="H376" t="s">
        <v>139</v>
      </c>
      <c r="I376" s="5">
        <v>2583.61</v>
      </c>
      <c r="J376" s="8">
        <v>3</v>
      </c>
      <c r="K376" s="5">
        <v>1017.81</v>
      </c>
      <c r="L376" t="s">
        <v>38</v>
      </c>
      <c r="M376">
        <v>2024</v>
      </c>
      <c r="N376">
        <f t="shared" si="5"/>
        <v>11</v>
      </c>
    </row>
    <row r="377" spans="1:14" x14ac:dyDescent="0.25">
      <c r="A377" t="s">
        <v>707</v>
      </c>
      <c r="B377" s="2">
        <v>45618</v>
      </c>
      <c r="C377" t="s">
        <v>160</v>
      </c>
      <c r="D377" t="s">
        <v>86</v>
      </c>
      <c r="E377" t="s">
        <v>116</v>
      </c>
      <c r="F377" t="s">
        <v>26</v>
      </c>
      <c r="G377" t="s">
        <v>89</v>
      </c>
      <c r="H377" t="s">
        <v>265</v>
      </c>
      <c r="I377" s="5">
        <v>1202.0899999999999</v>
      </c>
      <c r="J377" s="8">
        <v>2</v>
      </c>
      <c r="K377" s="5">
        <v>455</v>
      </c>
      <c r="L377" t="s">
        <v>21</v>
      </c>
      <c r="M377">
        <v>2024</v>
      </c>
      <c r="N377">
        <f t="shared" si="5"/>
        <v>11</v>
      </c>
    </row>
    <row r="378" spans="1:14" x14ac:dyDescent="0.25">
      <c r="A378" t="s">
        <v>254</v>
      </c>
      <c r="B378" s="2">
        <v>45620</v>
      </c>
      <c r="C378" t="s">
        <v>65</v>
      </c>
      <c r="D378" t="s">
        <v>41</v>
      </c>
      <c r="E378" t="s">
        <v>58</v>
      </c>
      <c r="F378" t="s">
        <v>48</v>
      </c>
      <c r="G378" t="s">
        <v>59</v>
      </c>
      <c r="H378" t="s">
        <v>142</v>
      </c>
      <c r="I378" s="5">
        <v>255.7</v>
      </c>
      <c r="J378" s="8">
        <v>6</v>
      </c>
      <c r="K378" s="5">
        <v>80.55</v>
      </c>
      <c r="L378" t="s">
        <v>21</v>
      </c>
      <c r="M378">
        <v>2024</v>
      </c>
      <c r="N378">
        <f t="shared" si="5"/>
        <v>11</v>
      </c>
    </row>
    <row r="379" spans="1:14" x14ac:dyDescent="0.25">
      <c r="A379" t="s">
        <v>501</v>
      </c>
      <c r="B379" s="2">
        <v>45620</v>
      </c>
      <c r="C379" t="s">
        <v>133</v>
      </c>
      <c r="D379" t="s">
        <v>79</v>
      </c>
      <c r="E379" t="s">
        <v>149</v>
      </c>
      <c r="F379" t="s">
        <v>26</v>
      </c>
      <c r="G379" t="s">
        <v>89</v>
      </c>
      <c r="H379" t="s">
        <v>90</v>
      </c>
      <c r="I379" s="5">
        <v>2137.1799999999998</v>
      </c>
      <c r="J379" s="8">
        <v>7</v>
      </c>
      <c r="K379" s="5">
        <v>1068.7</v>
      </c>
      <c r="L379" t="s">
        <v>29</v>
      </c>
      <c r="M379">
        <v>2024</v>
      </c>
      <c r="N379">
        <f t="shared" si="5"/>
        <v>11</v>
      </c>
    </row>
    <row r="380" spans="1:14" x14ac:dyDescent="0.25">
      <c r="A380" t="s">
        <v>539</v>
      </c>
      <c r="B380" s="2">
        <v>45620</v>
      </c>
      <c r="C380" t="s">
        <v>198</v>
      </c>
      <c r="D380" t="s">
        <v>36</v>
      </c>
      <c r="E380" t="s">
        <v>47</v>
      </c>
      <c r="F380" t="s">
        <v>26</v>
      </c>
      <c r="G380" t="s">
        <v>27</v>
      </c>
      <c r="H380" t="s">
        <v>162</v>
      </c>
      <c r="I380" s="5">
        <v>179.31</v>
      </c>
      <c r="J380" s="8">
        <v>2</v>
      </c>
      <c r="K380" s="5">
        <v>78.92</v>
      </c>
      <c r="L380" t="s">
        <v>21</v>
      </c>
      <c r="M380">
        <v>2024</v>
      </c>
      <c r="N380">
        <f t="shared" si="5"/>
        <v>11</v>
      </c>
    </row>
    <row r="381" spans="1:14" x14ac:dyDescent="0.25">
      <c r="A381" t="s">
        <v>673</v>
      </c>
      <c r="B381" s="2">
        <v>45620</v>
      </c>
      <c r="C381" t="s">
        <v>62</v>
      </c>
      <c r="D381" t="s">
        <v>86</v>
      </c>
      <c r="E381" t="s">
        <v>87</v>
      </c>
      <c r="F381" t="s">
        <v>48</v>
      </c>
      <c r="G381" t="s">
        <v>68</v>
      </c>
      <c r="H381" t="s">
        <v>69</v>
      </c>
      <c r="I381" s="5">
        <v>4056.65</v>
      </c>
      <c r="J381" s="8">
        <v>8</v>
      </c>
      <c r="K381" s="5">
        <v>2063.17</v>
      </c>
      <c r="L381" t="s">
        <v>21</v>
      </c>
      <c r="M381">
        <v>2024</v>
      </c>
      <c r="N381">
        <f t="shared" si="5"/>
        <v>11</v>
      </c>
    </row>
    <row r="382" spans="1:14" x14ac:dyDescent="0.25">
      <c r="A382" t="s">
        <v>598</v>
      </c>
      <c r="B382" s="2">
        <v>45623</v>
      </c>
      <c r="C382" t="s">
        <v>84</v>
      </c>
      <c r="D382" t="s">
        <v>74</v>
      </c>
      <c r="E382" t="s">
        <v>75</v>
      </c>
      <c r="F382" t="s">
        <v>48</v>
      </c>
      <c r="G382" t="s">
        <v>68</v>
      </c>
      <c r="H382" t="s">
        <v>69</v>
      </c>
      <c r="I382" s="5">
        <v>3253.36</v>
      </c>
      <c r="J382" s="8">
        <v>4</v>
      </c>
      <c r="K382" s="5">
        <v>1751.67</v>
      </c>
      <c r="L382" t="s">
        <v>38</v>
      </c>
      <c r="M382">
        <v>2024</v>
      </c>
      <c r="N382">
        <f t="shared" si="5"/>
        <v>11</v>
      </c>
    </row>
    <row r="383" spans="1:14" x14ac:dyDescent="0.25">
      <c r="A383" t="s">
        <v>452</v>
      </c>
      <c r="B383" s="2">
        <v>45625</v>
      </c>
      <c r="C383" t="s">
        <v>198</v>
      </c>
      <c r="D383" t="s">
        <v>41</v>
      </c>
      <c r="E383" t="s">
        <v>58</v>
      </c>
      <c r="F383" t="s">
        <v>18</v>
      </c>
      <c r="G383" t="s">
        <v>19</v>
      </c>
      <c r="H383" t="s">
        <v>20</v>
      </c>
      <c r="I383" s="5">
        <v>7306.64</v>
      </c>
      <c r="J383" s="8">
        <v>8</v>
      </c>
      <c r="K383" s="5">
        <v>2512</v>
      </c>
      <c r="L383" t="s">
        <v>21</v>
      </c>
      <c r="M383">
        <v>2024</v>
      </c>
      <c r="N383">
        <f t="shared" si="5"/>
        <v>12</v>
      </c>
    </row>
    <row r="384" spans="1:14" x14ac:dyDescent="0.25">
      <c r="A384" t="s">
        <v>343</v>
      </c>
      <c r="B384" s="2">
        <v>45629</v>
      </c>
      <c r="C384" t="s">
        <v>46</v>
      </c>
      <c r="D384" t="s">
        <v>36</v>
      </c>
      <c r="E384" t="s">
        <v>47</v>
      </c>
      <c r="F384" t="s">
        <v>48</v>
      </c>
      <c r="G384" t="s">
        <v>151</v>
      </c>
      <c r="H384" t="s">
        <v>174</v>
      </c>
      <c r="I384" s="5">
        <v>315.08</v>
      </c>
      <c r="J384" s="8">
        <v>1</v>
      </c>
      <c r="K384" s="5">
        <v>88.61</v>
      </c>
      <c r="L384" t="s">
        <v>21</v>
      </c>
      <c r="M384">
        <v>2024</v>
      </c>
      <c r="N384">
        <f t="shared" si="5"/>
        <v>12</v>
      </c>
    </row>
    <row r="385" spans="1:14" x14ac:dyDescent="0.25">
      <c r="A385" t="s">
        <v>359</v>
      </c>
      <c r="B385" s="2">
        <v>45630</v>
      </c>
      <c r="C385" t="s">
        <v>198</v>
      </c>
      <c r="D385" t="s">
        <v>36</v>
      </c>
      <c r="E385" t="s">
        <v>37</v>
      </c>
      <c r="F385" t="s">
        <v>48</v>
      </c>
      <c r="G385" t="s">
        <v>68</v>
      </c>
      <c r="H385" t="s">
        <v>69</v>
      </c>
      <c r="I385" s="5">
        <v>2424.02</v>
      </c>
      <c r="J385" s="8">
        <v>8</v>
      </c>
      <c r="K385" s="5">
        <v>1297.95</v>
      </c>
      <c r="L385" t="s">
        <v>21</v>
      </c>
      <c r="M385">
        <v>2024</v>
      </c>
      <c r="N385">
        <f t="shared" si="5"/>
        <v>12</v>
      </c>
    </row>
    <row r="386" spans="1:14" x14ac:dyDescent="0.25">
      <c r="A386" t="s">
        <v>620</v>
      </c>
      <c r="B386" s="2">
        <v>45630</v>
      </c>
      <c r="C386" t="s">
        <v>160</v>
      </c>
      <c r="D386" t="s">
        <v>125</v>
      </c>
      <c r="E386" t="s">
        <v>126</v>
      </c>
      <c r="F386" t="s">
        <v>18</v>
      </c>
      <c r="G386" t="s">
        <v>43</v>
      </c>
      <c r="H386" t="s">
        <v>76</v>
      </c>
      <c r="I386" s="5">
        <v>236.01</v>
      </c>
      <c r="J386" s="8">
        <v>1</v>
      </c>
      <c r="K386" s="5">
        <v>79.95</v>
      </c>
      <c r="L386" t="s">
        <v>29</v>
      </c>
      <c r="M386">
        <v>2024</v>
      </c>
      <c r="N386">
        <f t="shared" ref="N386:N449" si="6">MONTH(B387)</f>
        <v>12</v>
      </c>
    </row>
    <row r="387" spans="1:14" x14ac:dyDescent="0.25">
      <c r="A387" t="s">
        <v>500</v>
      </c>
      <c r="B387" s="2">
        <v>45632</v>
      </c>
      <c r="C387" t="s">
        <v>120</v>
      </c>
      <c r="D387" t="s">
        <v>36</v>
      </c>
      <c r="E387" t="s">
        <v>128</v>
      </c>
      <c r="F387" t="s">
        <v>18</v>
      </c>
      <c r="G387" t="s">
        <v>32</v>
      </c>
      <c r="H387" t="s">
        <v>33</v>
      </c>
      <c r="I387" s="5">
        <v>1367.48</v>
      </c>
      <c r="J387" s="8">
        <v>5</v>
      </c>
      <c r="K387" s="5">
        <v>271.8</v>
      </c>
      <c r="L387" t="s">
        <v>38</v>
      </c>
      <c r="M387">
        <v>2024</v>
      </c>
      <c r="N387">
        <f t="shared" si="6"/>
        <v>12</v>
      </c>
    </row>
    <row r="388" spans="1:14" x14ac:dyDescent="0.25">
      <c r="A388" t="s">
        <v>561</v>
      </c>
      <c r="B388" s="2">
        <v>45632</v>
      </c>
      <c r="C388" t="s">
        <v>160</v>
      </c>
      <c r="D388" t="s">
        <v>52</v>
      </c>
      <c r="E388" t="s">
        <v>53</v>
      </c>
      <c r="F388" t="s">
        <v>48</v>
      </c>
      <c r="G388" t="s">
        <v>49</v>
      </c>
      <c r="H388" t="s">
        <v>50</v>
      </c>
      <c r="I388" s="5">
        <v>5047.6899999999996</v>
      </c>
      <c r="J388" s="8">
        <v>6</v>
      </c>
      <c r="K388" s="5">
        <v>2613.77</v>
      </c>
      <c r="L388" t="s">
        <v>29</v>
      </c>
      <c r="M388">
        <v>2024</v>
      </c>
      <c r="N388">
        <f t="shared" si="6"/>
        <v>12</v>
      </c>
    </row>
    <row r="389" spans="1:14" x14ac:dyDescent="0.25">
      <c r="A389" t="s">
        <v>468</v>
      </c>
      <c r="B389" s="2">
        <v>45635</v>
      </c>
      <c r="C389" t="s">
        <v>40</v>
      </c>
      <c r="D389" t="s">
        <v>41</v>
      </c>
      <c r="E389" t="s">
        <v>58</v>
      </c>
      <c r="F389" t="s">
        <v>48</v>
      </c>
      <c r="G389" t="s">
        <v>68</v>
      </c>
      <c r="H389" t="s">
        <v>69</v>
      </c>
      <c r="I389" s="5">
        <v>556.9</v>
      </c>
      <c r="J389" s="8">
        <v>2</v>
      </c>
      <c r="K389" s="5">
        <v>269.51</v>
      </c>
      <c r="L389" t="s">
        <v>38</v>
      </c>
      <c r="M389">
        <v>2024</v>
      </c>
      <c r="N389">
        <f t="shared" si="6"/>
        <v>12</v>
      </c>
    </row>
    <row r="390" spans="1:14" x14ac:dyDescent="0.25">
      <c r="A390" t="s">
        <v>247</v>
      </c>
      <c r="B390" s="2">
        <v>45642</v>
      </c>
      <c r="C390" t="s">
        <v>23</v>
      </c>
      <c r="D390" t="s">
        <v>74</v>
      </c>
      <c r="E390" t="s">
        <v>75</v>
      </c>
      <c r="F390" t="s">
        <v>48</v>
      </c>
      <c r="G390" t="s">
        <v>151</v>
      </c>
      <c r="H390" t="s">
        <v>174</v>
      </c>
      <c r="I390" s="5">
        <v>2845.12</v>
      </c>
      <c r="J390" s="8">
        <v>8</v>
      </c>
      <c r="K390" s="5">
        <v>1123.1099999999999</v>
      </c>
      <c r="L390" t="s">
        <v>21</v>
      </c>
      <c r="M390">
        <v>2024</v>
      </c>
      <c r="N390">
        <f t="shared" si="6"/>
        <v>12</v>
      </c>
    </row>
    <row r="391" spans="1:14" x14ac:dyDescent="0.25">
      <c r="A391" t="s">
        <v>233</v>
      </c>
      <c r="B391" s="2">
        <v>45646</v>
      </c>
      <c r="C391" t="s">
        <v>40</v>
      </c>
      <c r="D391" t="s">
        <v>66</v>
      </c>
      <c r="E391" t="s">
        <v>180</v>
      </c>
      <c r="F391" t="s">
        <v>18</v>
      </c>
      <c r="G391" t="s">
        <v>43</v>
      </c>
      <c r="H391" t="s">
        <v>44</v>
      </c>
      <c r="I391" s="5">
        <v>207.26</v>
      </c>
      <c r="J391" s="8">
        <v>6</v>
      </c>
      <c r="K391" s="5">
        <v>90.74</v>
      </c>
      <c r="L391" t="s">
        <v>21</v>
      </c>
      <c r="M391">
        <v>2024</v>
      </c>
      <c r="N391">
        <f t="shared" si="6"/>
        <v>12</v>
      </c>
    </row>
    <row r="392" spans="1:14" x14ac:dyDescent="0.25">
      <c r="A392" t="s">
        <v>459</v>
      </c>
      <c r="B392" s="2">
        <v>45648</v>
      </c>
      <c r="C392" t="s">
        <v>62</v>
      </c>
      <c r="D392" t="s">
        <v>66</v>
      </c>
      <c r="E392" t="s">
        <v>67</v>
      </c>
      <c r="F392" t="s">
        <v>18</v>
      </c>
      <c r="G392" t="s">
        <v>54</v>
      </c>
      <c r="H392" t="s">
        <v>55</v>
      </c>
      <c r="I392" s="5">
        <v>852.6</v>
      </c>
      <c r="J392" s="8">
        <v>2</v>
      </c>
      <c r="K392" s="5">
        <v>300.33</v>
      </c>
      <c r="L392" t="s">
        <v>29</v>
      </c>
      <c r="M392">
        <v>2024</v>
      </c>
      <c r="N392">
        <f t="shared" si="6"/>
        <v>12</v>
      </c>
    </row>
    <row r="393" spans="1:14" x14ac:dyDescent="0.25">
      <c r="A393" t="s">
        <v>278</v>
      </c>
      <c r="B393" s="2">
        <v>45649</v>
      </c>
      <c r="C393" t="s">
        <v>198</v>
      </c>
      <c r="D393" t="s">
        <v>16</v>
      </c>
      <c r="E393" t="s">
        <v>190</v>
      </c>
      <c r="F393" t="s">
        <v>18</v>
      </c>
      <c r="G393" t="s">
        <v>32</v>
      </c>
      <c r="H393" t="s">
        <v>147</v>
      </c>
      <c r="I393" s="5">
        <v>1903.04</v>
      </c>
      <c r="J393" s="8">
        <v>4</v>
      </c>
      <c r="K393" s="5">
        <v>821.32</v>
      </c>
      <c r="L393" t="s">
        <v>21</v>
      </c>
      <c r="M393">
        <v>2024</v>
      </c>
      <c r="N393">
        <f t="shared" si="6"/>
        <v>12</v>
      </c>
    </row>
    <row r="394" spans="1:14" x14ac:dyDescent="0.25">
      <c r="A394" t="s">
        <v>390</v>
      </c>
      <c r="B394" s="2">
        <v>45651</v>
      </c>
      <c r="C394" t="s">
        <v>46</v>
      </c>
      <c r="D394" t="s">
        <v>52</v>
      </c>
      <c r="E394" t="s">
        <v>53</v>
      </c>
      <c r="F394" t="s">
        <v>26</v>
      </c>
      <c r="G394" t="s">
        <v>98</v>
      </c>
      <c r="H394" t="s">
        <v>176</v>
      </c>
      <c r="I394" s="5">
        <v>1987.81</v>
      </c>
      <c r="J394" s="8">
        <v>3</v>
      </c>
      <c r="K394" s="5">
        <v>699.78</v>
      </c>
      <c r="L394" t="s">
        <v>21</v>
      </c>
      <c r="M394">
        <v>2024</v>
      </c>
      <c r="N394">
        <f t="shared" si="6"/>
        <v>12</v>
      </c>
    </row>
    <row r="395" spans="1:14" x14ac:dyDescent="0.25">
      <c r="A395" t="s">
        <v>595</v>
      </c>
      <c r="B395" s="2">
        <v>45651</v>
      </c>
      <c r="C395" t="s">
        <v>120</v>
      </c>
      <c r="D395" t="s">
        <v>74</v>
      </c>
      <c r="E395" t="s">
        <v>213</v>
      </c>
      <c r="F395" t="s">
        <v>26</v>
      </c>
      <c r="G395" t="s">
        <v>27</v>
      </c>
      <c r="H395" t="s">
        <v>28</v>
      </c>
      <c r="I395" s="5">
        <v>729.58</v>
      </c>
      <c r="J395" s="8">
        <v>6</v>
      </c>
      <c r="K395" s="5">
        <v>178.32</v>
      </c>
      <c r="L395" t="s">
        <v>21</v>
      </c>
      <c r="M395">
        <v>2024</v>
      </c>
      <c r="N395">
        <f t="shared" si="6"/>
        <v>12</v>
      </c>
    </row>
    <row r="396" spans="1:14" x14ac:dyDescent="0.25">
      <c r="A396" t="s">
        <v>604</v>
      </c>
      <c r="B396" s="2">
        <v>45655</v>
      </c>
      <c r="C396" t="s">
        <v>31</v>
      </c>
      <c r="D396" t="s">
        <v>24</v>
      </c>
      <c r="E396" t="s">
        <v>25</v>
      </c>
      <c r="F396" t="s">
        <v>48</v>
      </c>
      <c r="G396" t="s">
        <v>94</v>
      </c>
      <c r="H396" t="s">
        <v>95</v>
      </c>
      <c r="I396" s="5">
        <v>2130.9</v>
      </c>
      <c r="J396" s="8">
        <v>8</v>
      </c>
      <c r="K396" s="5">
        <v>800.22</v>
      </c>
      <c r="L396" t="s">
        <v>21</v>
      </c>
      <c r="M396">
        <v>2024</v>
      </c>
      <c r="N396">
        <f t="shared" si="6"/>
        <v>1</v>
      </c>
    </row>
    <row r="397" spans="1:14" x14ac:dyDescent="0.25">
      <c r="A397" t="s">
        <v>256</v>
      </c>
      <c r="B397" s="2">
        <v>45658</v>
      </c>
      <c r="C397" t="s">
        <v>31</v>
      </c>
      <c r="D397" t="s">
        <v>74</v>
      </c>
      <c r="E397" t="s">
        <v>97</v>
      </c>
      <c r="F397" t="s">
        <v>48</v>
      </c>
      <c r="G397" t="s">
        <v>151</v>
      </c>
      <c r="H397" t="s">
        <v>174</v>
      </c>
      <c r="I397" s="5">
        <v>4436.5</v>
      </c>
      <c r="J397" s="8">
        <v>5</v>
      </c>
      <c r="K397" s="5">
        <v>1554.68</v>
      </c>
      <c r="L397" t="s">
        <v>21</v>
      </c>
      <c r="M397">
        <v>2025</v>
      </c>
      <c r="N397">
        <f t="shared" si="6"/>
        <v>1</v>
      </c>
    </row>
    <row r="398" spans="1:14" x14ac:dyDescent="0.25">
      <c r="A398" t="s">
        <v>674</v>
      </c>
      <c r="B398" s="2">
        <v>45658</v>
      </c>
      <c r="C398" t="s">
        <v>31</v>
      </c>
      <c r="D398" t="s">
        <v>86</v>
      </c>
      <c r="E398" t="s">
        <v>118</v>
      </c>
      <c r="F398" t="s">
        <v>48</v>
      </c>
      <c r="G398" t="s">
        <v>68</v>
      </c>
      <c r="H398" t="s">
        <v>69</v>
      </c>
      <c r="I398" s="5">
        <v>2054.86</v>
      </c>
      <c r="J398" s="8">
        <v>8</v>
      </c>
      <c r="K398" s="5">
        <v>1036.68</v>
      </c>
      <c r="L398" t="s">
        <v>21</v>
      </c>
      <c r="M398">
        <v>2025</v>
      </c>
      <c r="N398">
        <f t="shared" si="6"/>
        <v>1</v>
      </c>
    </row>
    <row r="399" spans="1:14" x14ac:dyDescent="0.25">
      <c r="A399" t="s">
        <v>654</v>
      </c>
      <c r="B399" s="2">
        <v>45661</v>
      </c>
      <c r="C399" t="s">
        <v>92</v>
      </c>
      <c r="D399" t="s">
        <v>66</v>
      </c>
      <c r="E399" t="s">
        <v>271</v>
      </c>
      <c r="F399" t="s">
        <v>48</v>
      </c>
      <c r="G399" t="s">
        <v>59</v>
      </c>
      <c r="H399" t="s">
        <v>60</v>
      </c>
      <c r="I399" s="5">
        <v>1448.75</v>
      </c>
      <c r="J399" s="8">
        <v>4</v>
      </c>
      <c r="K399" s="5">
        <v>458.27</v>
      </c>
      <c r="L399" t="s">
        <v>21</v>
      </c>
      <c r="M399">
        <v>2025</v>
      </c>
      <c r="N399">
        <f t="shared" si="6"/>
        <v>1</v>
      </c>
    </row>
    <row r="400" spans="1:14" x14ac:dyDescent="0.25">
      <c r="A400" t="s">
        <v>298</v>
      </c>
      <c r="B400" s="2">
        <v>45663</v>
      </c>
      <c r="C400" t="s">
        <v>198</v>
      </c>
      <c r="D400" t="s">
        <v>86</v>
      </c>
      <c r="E400" t="s">
        <v>87</v>
      </c>
      <c r="F400" t="s">
        <v>48</v>
      </c>
      <c r="G400" t="s">
        <v>68</v>
      </c>
      <c r="H400" t="s">
        <v>69</v>
      </c>
      <c r="I400" s="5">
        <v>1150.92</v>
      </c>
      <c r="J400" s="8">
        <v>5</v>
      </c>
      <c r="K400" s="5">
        <v>585.65</v>
      </c>
      <c r="L400" t="s">
        <v>21</v>
      </c>
      <c r="M400">
        <v>2025</v>
      </c>
      <c r="N400">
        <f t="shared" si="6"/>
        <v>1</v>
      </c>
    </row>
    <row r="401" spans="1:14" x14ac:dyDescent="0.25">
      <c r="A401" t="s">
        <v>504</v>
      </c>
      <c r="B401" s="2">
        <v>45663</v>
      </c>
      <c r="C401" t="s">
        <v>160</v>
      </c>
      <c r="D401" t="s">
        <v>24</v>
      </c>
      <c r="E401" t="s">
        <v>377</v>
      </c>
      <c r="F401" t="s">
        <v>18</v>
      </c>
      <c r="G401" t="s">
        <v>54</v>
      </c>
      <c r="H401" t="s">
        <v>108</v>
      </c>
      <c r="I401" s="5">
        <v>765.05</v>
      </c>
      <c r="J401" s="8">
        <v>1</v>
      </c>
      <c r="K401" s="5">
        <v>251.83</v>
      </c>
      <c r="L401" t="s">
        <v>21</v>
      </c>
      <c r="M401">
        <v>2025</v>
      </c>
      <c r="N401">
        <f t="shared" si="6"/>
        <v>1</v>
      </c>
    </row>
    <row r="402" spans="1:14" x14ac:dyDescent="0.25">
      <c r="A402" t="s">
        <v>551</v>
      </c>
      <c r="B402" s="2">
        <v>45664</v>
      </c>
      <c r="C402" t="s">
        <v>65</v>
      </c>
      <c r="D402" t="s">
        <v>36</v>
      </c>
      <c r="E402" t="s">
        <v>128</v>
      </c>
      <c r="F402" t="s">
        <v>26</v>
      </c>
      <c r="G402" t="s">
        <v>27</v>
      </c>
      <c r="H402" t="s">
        <v>162</v>
      </c>
      <c r="I402" s="5">
        <v>3639</v>
      </c>
      <c r="J402" s="8">
        <v>5</v>
      </c>
      <c r="K402" s="5">
        <v>923.27</v>
      </c>
      <c r="L402" t="s">
        <v>38</v>
      </c>
      <c r="M402">
        <v>2025</v>
      </c>
      <c r="N402">
        <f t="shared" si="6"/>
        <v>1</v>
      </c>
    </row>
    <row r="403" spans="1:14" x14ac:dyDescent="0.25">
      <c r="A403" t="s">
        <v>587</v>
      </c>
      <c r="B403" s="2">
        <v>45664</v>
      </c>
      <c r="C403" t="s">
        <v>35</v>
      </c>
      <c r="D403" t="s">
        <v>66</v>
      </c>
      <c r="E403" t="s">
        <v>67</v>
      </c>
      <c r="F403" t="s">
        <v>48</v>
      </c>
      <c r="G403" t="s">
        <v>68</v>
      </c>
      <c r="H403" t="s">
        <v>69</v>
      </c>
      <c r="I403" s="5">
        <v>2617.15</v>
      </c>
      <c r="J403" s="8">
        <v>8</v>
      </c>
      <c r="K403" s="5">
        <v>1367.1</v>
      </c>
      <c r="L403" t="s">
        <v>21</v>
      </c>
      <c r="M403">
        <v>2025</v>
      </c>
      <c r="N403">
        <f t="shared" si="6"/>
        <v>1</v>
      </c>
    </row>
    <row r="404" spans="1:14" x14ac:dyDescent="0.25">
      <c r="A404" t="s">
        <v>615</v>
      </c>
      <c r="B404" s="2">
        <v>45664</v>
      </c>
      <c r="C404" t="s">
        <v>120</v>
      </c>
      <c r="D404" t="s">
        <v>66</v>
      </c>
      <c r="E404" t="s">
        <v>271</v>
      </c>
      <c r="F404" t="s">
        <v>26</v>
      </c>
      <c r="G404" t="s">
        <v>27</v>
      </c>
      <c r="H404" t="s">
        <v>28</v>
      </c>
      <c r="I404" s="5">
        <v>885.96</v>
      </c>
      <c r="J404" s="8">
        <v>7</v>
      </c>
      <c r="K404" s="5">
        <v>463.53</v>
      </c>
      <c r="L404" t="s">
        <v>38</v>
      </c>
      <c r="M404">
        <v>2025</v>
      </c>
      <c r="N404">
        <f t="shared" si="6"/>
        <v>1</v>
      </c>
    </row>
    <row r="405" spans="1:14" x14ac:dyDescent="0.25">
      <c r="A405" t="s">
        <v>333</v>
      </c>
      <c r="B405" s="2">
        <v>45666</v>
      </c>
      <c r="C405" t="s">
        <v>40</v>
      </c>
      <c r="D405" t="s">
        <v>52</v>
      </c>
      <c r="E405" t="s">
        <v>53</v>
      </c>
      <c r="F405" t="s">
        <v>48</v>
      </c>
      <c r="G405" t="s">
        <v>49</v>
      </c>
      <c r="H405" t="s">
        <v>158</v>
      </c>
      <c r="I405" s="5">
        <v>406.42</v>
      </c>
      <c r="J405" s="8">
        <v>2</v>
      </c>
      <c r="K405" s="5">
        <v>122.52</v>
      </c>
      <c r="L405" t="s">
        <v>21</v>
      </c>
      <c r="M405">
        <v>2025</v>
      </c>
      <c r="N405">
        <f t="shared" si="6"/>
        <v>1</v>
      </c>
    </row>
    <row r="406" spans="1:14" x14ac:dyDescent="0.25">
      <c r="A406" t="s">
        <v>266</v>
      </c>
      <c r="B406" s="2">
        <v>45667</v>
      </c>
      <c r="C406" t="s">
        <v>40</v>
      </c>
      <c r="D406" t="s">
        <v>74</v>
      </c>
      <c r="E406" t="s">
        <v>213</v>
      </c>
      <c r="F406" t="s">
        <v>48</v>
      </c>
      <c r="G406" t="s">
        <v>49</v>
      </c>
      <c r="H406" t="s">
        <v>50</v>
      </c>
      <c r="I406" s="5">
        <v>1595.51</v>
      </c>
      <c r="J406" s="8">
        <v>3</v>
      </c>
      <c r="K406" s="5">
        <v>378.77</v>
      </c>
      <c r="L406" t="s">
        <v>29</v>
      </c>
      <c r="M406">
        <v>2025</v>
      </c>
      <c r="N406">
        <f t="shared" si="6"/>
        <v>1</v>
      </c>
    </row>
    <row r="407" spans="1:14" x14ac:dyDescent="0.25">
      <c r="A407" t="s">
        <v>336</v>
      </c>
      <c r="B407" s="2">
        <v>45674</v>
      </c>
      <c r="C407" t="s">
        <v>78</v>
      </c>
      <c r="D407" t="s">
        <v>41</v>
      </c>
      <c r="E407" t="s">
        <v>42</v>
      </c>
      <c r="F407" t="s">
        <v>48</v>
      </c>
      <c r="G407" t="s">
        <v>94</v>
      </c>
      <c r="H407" t="s">
        <v>104</v>
      </c>
      <c r="I407" s="5">
        <v>4891.21</v>
      </c>
      <c r="J407" s="8">
        <v>7</v>
      </c>
      <c r="K407" s="5">
        <v>2133.17</v>
      </c>
      <c r="L407" t="s">
        <v>21</v>
      </c>
      <c r="M407">
        <v>2025</v>
      </c>
      <c r="N407">
        <f t="shared" si="6"/>
        <v>1</v>
      </c>
    </row>
    <row r="408" spans="1:14" x14ac:dyDescent="0.25">
      <c r="A408" t="s">
        <v>487</v>
      </c>
      <c r="B408" s="2">
        <v>45675</v>
      </c>
      <c r="C408" t="s">
        <v>35</v>
      </c>
      <c r="D408" t="s">
        <v>86</v>
      </c>
      <c r="E408" t="s">
        <v>116</v>
      </c>
      <c r="F408" t="s">
        <v>18</v>
      </c>
      <c r="G408" t="s">
        <v>54</v>
      </c>
      <c r="H408" t="s">
        <v>55</v>
      </c>
      <c r="I408" s="5">
        <v>2994.04</v>
      </c>
      <c r="J408" s="8">
        <v>7</v>
      </c>
      <c r="K408" s="5">
        <v>880.99</v>
      </c>
      <c r="L408" t="s">
        <v>29</v>
      </c>
      <c r="M408">
        <v>2025</v>
      </c>
      <c r="N408">
        <f t="shared" si="6"/>
        <v>1</v>
      </c>
    </row>
    <row r="409" spans="1:14" x14ac:dyDescent="0.25">
      <c r="A409" t="s">
        <v>638</v>
      </c>
      <c r="B409" s="2">
        <v>45675</v>
      </c>
      <c r="C409" t="s">
        <v>31</v>
      </c>
      <c r="D409" t="s">
        <v>36</v>
      </c>
      <c r="E409" t="s">
        <v>128</v>
      </c>
      <c r="F409" t="s">
        <v>48</v>
      </c>
      <c r="G409" t="s">
        <v>94</v>
      </c>
      <c r="H409" t="s">
        <v>95</v>
      </c>
      <c r="I409" s="5">
        <v>269.08999999999997</v>
      </c>
      <c r="J409" s="8">
        <v>2</v>
      </c>
      <c r="K409" s="5">
        <v>86.69</v>
      </c>
      <c r="L409" t="s">
        <v>29</v>
      </c>
      <c r="M409">
        <v>2025</v>
      </c>
      <c r="N409">
        <f t="shared" si="6"/>
        <v>1</v>
      </c>
    </row>
    <row r="410" spans="1:14" x14ac:dyDescent="0.25">
      <c r="A410" t="s">
        <v>483</v>
      </c>
      <c r="B410" s="2">
        <v>45676</v>
      </c>
      <c r="C410" t="s">
        <v>40</v>
      </c>
      <c r="D410" t="s">
        <v>41</v>
      </c>
      <c r="E410" t="s">
        <v>42</v>
      </c>
      <c r="F410" t="s">
        <v>26</v>
      </c>
      <c r="G410" t="s">
        <v>81</v>
      </c>
      <c r="H410" t="s">
        <v>82</v>
      </c>
      <c r="I410" s="5">
        <v>2552.0100000000002</v>
      </c>
      <c r="J410" s="8">
        <v>3</v>
      </c>
      <c r="K410" s="5">
        <v>945.86</v>
      </c>
      <c r="L410" t="s">
        <v>38</v>
      </c>
      <c r="M410">
        <v>2025</v>
      </c>
      <c r="N410">
        <f t="shared" si="6"/>
        <v>1</v>
      </c>
    </row>
    <row r="411" spans="1:14" x14ac:dyDescent="0.25">
      <c r="A411" t="s">
        <v>662</v>
      </c>
      <c r="B411" s="2">
        <v>45677</v>
      </c>
      <c r="C411" t="s">
        <v>15</v>
      </c>
      <c r="D411" t="s">
        <v>52</v>
      </c>
      <c r="E411" t="s">
        <v>53</v>
      </c>
      <c r="F411" t="s">
        <v>48</v>
      </c>
      <c r="G411" t="s">
        <v>68</v>
      </c>
      <c r="H411" t="s">
        <v>69</v>
      </c>
      <c r="I411" s="5">
        <v>1631.02</v>
      </c>
      <c r="J411" s="8">
        <v>6</v>
      </c>
      <c r="K411" s="5">
        <v>741.28</v>
      </c>
      <c r="L411" t="s">
        <v>21</v>
      </c>
      <c r="M411">
        <v>2025</v>
      </c>
      <c r="N411">
        <f t="shared" si="6"/>
        <v>1</v>
      </c>
    </row>
    <row r="412" spans="1:14" x14ac:dyDescent="0.25">
      <c r="A412" t="s">
        <v>693</v>
      </c>
      <c r="B412" s="2">
        <v>45677</v>
      </c>
      <c r="C412" t="s">
        <v>46</v>
      </c>
      <c r="D412" t="s">
        <v>74</v>
      </c>
      <c r="E412" t="s">
        <v>75</v>
      </c>
      <c r="F412" t="s">
        <v>18</v>
      </c>
      <c r="G412" t="s">
        <v>43</v>
      </c>
      <c r="H412" t="s">
        <v>44</v>
      </c>
      <c r="I412" s="5">
        <v>2577.34</v>
      </c>
      <c r="J412" s="8">
        <v>8</v>
      </c>
      <c r="K412" s="5">
        <v>867.12</v>
      </c>
      <c r="L412" t="s">
        <v>29</v>
      </c>
      <c r="M412">
        <v>2025</v>
      </c>
      <c r="N412">
        <f t="shared" si="6"/>
        <v>1</v>
      </c>
    </row>
    <row r="413" spans="1:14" x14ac:dyDescent="0.25">
      <c r="A413" t="s">
        <v>618</v>
      </c>
      <c r="B413" s="2">
        <v>45678</v>
      </c>
      <c r="C413" t="s">
        <v>198</v>
      </c>
      <c r="D413" t="s">
        <v>41</v>
      </c>
      <c r="E413" t="s">
        <v>63</v>
      </c>
      <c r="F413" t="s">
        <v>18</v>
      </c>
      <c r="G413" t="s">
        <v>54</v>
      </c>
      <c r="H413" t="s">
        <v>55</v>
      </c>
      <c r="I413" s="5">
        <v>4582.1400000000003</v>
      </c>
      <c r="J413" s="8">
        <v>7</v>
      </c>
      <c r="K413" s="5">
        <v>981.07</v>
      </c>
      <c r="L413" t="s">
        <v>21</v>
      </c>
      <c r="M413">
        <v>2025</v>
      </c>
      <c r="N413">
        <f t="shared" si="6"/>
        <v>1</v>
      </c>
    </row>
    <row r="414" spans="1:14" x14ac:dyDescent="0.25">
      <c r="A414" t="s">
        <v>299</v>
      </c>
      <c r="B414" s="2">
        <v>45679</v>
      </c>
      <c r="C414" t="s">
        <v>40</v>
      </c>
      <c r="D414" t="s">
        <v>66</v>
      </c>
      <c r="E414" t="s">
        <v>271</v>
      </c>
      <c r="F414" t="s">
        <v>18</v>
      </c>
      <c r="G414" t="s">
        <v>19</v>
      </c>
      <c r="H414" t="s">
        <v>20</v>
      </c>
      <c r="I414" s="5">
        <v>2006.21</v>
      </c>
      <c r="J414" s="8">
        <v>5</v>
      </c>
      <c r="K414" s="5">
        <v>802.63</v>
      </c>
      <c r="L414" t="s">
        <v>29</v>
      </c>
      <c r="M414">
        <v>2025</v>
      </c>
      <c r="N414">
        <f t="shared" si="6"/>
        <v>1</v>
      </c>
    </row>
    <row r="415" spans="1:14" x14ac:dyDescent="0.25">
      <c r="A415" t="s">
        <v>161</v>
      </c>
      <c r="B415" s="2">
        <v>45682</v>
      </c>
      <c r="C415" t="s">
        <v>133</v>
      </c>
      <c r="D415" t="s">
        <v>79</v>
      </c>
      <c r="E415" t="s">
        <v>149</v>
      </c>
      <c r="F415" t="s">
        <v>26</v>
      </c>
      <c r="G415" t="s">
        <v>27</v>
      </c>
      <c r="H415" t="s">
        <v>162</v>
      </c>
      <c r="I415" s="5">
        <v>1846.53</v>
      </c>
      <c r="J415" s="8">
        <v>5</v>
      </c>
      <c r="K415" s="5">
        <v>774.71</v>
      </c>
      <c r="L415" t="s">
        <v>21</v>
      </c>
      <c r="M415">
        <v>2025</v>
      </c>
      <c r="N415">
        <f t="shared" si="6"/>
        <v>1</v>
      </c>
    </row>
    <row r="416" spans="1:14" x14ac:dyDescent="0.25">
      <c r="A416" t="s">
        <v>547</v>
      </c>
      <c r="B416" s="2">
        <v>45682</v>
      </c>
      <c r="C416" t="s">
        <v>133</v>
      </c>
      <c r="D416" t="s">
        <v>16</v>
      </c>
      <c r="E416" t="s">
        <v>190</v>
      </c>
      <c r="F416" t="s">
        <v>18</v>
      </c>
      <c r="G416" t="s">
        <v>43</v>
      </c>
      <c r="H416" t="s">
        <v>76</v>
      </c>
      <c r="I416" s="5">
        <v>4461.91</v>
      </c>
      <c r="J416" s="8">
        <v>7</v>
      </c>
      <c r="K416" s="5">
        <v>2071.58</v>
      </c>
      <c r="L416" t="s">
        <v>21</v>
      </c>
      <c r="M416">
        <v>2025</v>
      </c>
      <c r="N416">
        <f t="shared" si="6"/>
        <v>1</v>
      </c>
    </row>
    <row r="417" spans="1:14" x14ac:dyDescent="0.25">
      <c r="A417" t="s">
        <v>164</v>
      </c>
      <c r="B417" s="2">
        <v>45685</v>
      </c>
      <c r="C417" t="s">
        <v>84</v>
      </c>
      <c r="D417" t="s">
        <v>41</v>
      </c>
      <c r="E417" t="s">
        <v>42</v>
      </c>
      <c r="F417" t="s">
        <v>18</v>
      </c>
      <c r="G417" t="s">
        <v>43</v>
      </c>
      <c r="H417" t="s">
        <v>76</v>
      </c>
      <c r="I417" s="5">
        <v>2387.14</v>
      </c>
      <c r="J417" s="8">
        <v>7</v>
      </c>
      <c r="K417" s="5">
        <v>701.34</v>
      </c>
      <c r="L417" t="s">
        <v>21</v>
      </c>
      <c r="M417">
        <v>2025</v>
      </c>
      <c r="N417">
        <f t="shared" si="6"/>
        <v>1</v>
      </c>
    </row>
    <row r="418" spans="1:14" x14ac:dyDescent="0.25">
      <c r="A418" t="s">
        <v>210</v>
      </c>
      <c r="B418" s="2">
        <v>45686</v>
      </c>
      <c r="C418" t="s">
        <v>23</v>
      </c>
      <c r="D418" t="s">
        <v>16</v>
      </c>
      <c r="E418" t="s">
        <v>17</v>
      </c>
      <c r="F418" t="s">
        <v>18</v>
      </c>
      <c r="G418" t="s">
        <v>54</v>
      </c>
      <c r="H418" t="s">
        <v>55</v>
      </c>
      <c r="I418" s="5">
        <v>2070.92</v>
      </c>
      <c r="J418" s="8">
        <v>8</v>
      </c>
      <c r="K418" s="5">
        <v>550.11</v>
      </c>
      <c r="L418" t="s">
        <v>29</v>
      </c>
      <c r="M418">
        <v>2025</v>
      </c>
      <c r="N418">
        <f t="shared" si="6"/>
        <v>1</v>
      </c>
    </row>
    <row r="419" spans="1:14" x14ac:dyDescent="0.25">
      <c r="A419" t="s">
        <v>316</v>
      </c>
      <c r="B419" s="2">
        <v>45686</v>
      </c>
      <c r="C419" t="s">
        <v>23</v>
      </c>
      <c r="D419" t="s">
        <v>79</v>
      </c>
      <c r="E419" t="s">
        <v>80</v>
      </c>
      <c r="F419" t="s">
        <v>18</v>
      </c>
      <c r="G419" t="s">
        <v>32</v>
      </c>
      <c r="H419" t="s">
        <v>33</v>
      </c>
      <c r="I419" s="5">
        <v>2998.43</v>
      </c>
      <c r="J419" s="8">
        <v>4</v>
      </c>
      <c r="K419" s="5">
        <v>1613.28</v>
      </c>
      <c r="L419" t="s">
        <v>21</v>
      </c>
      <c r="M419">
        <v>2025</v>
      </c>
      <c r="N419">
        <f t="shared" si="6"/>
        <v>2</v>
      </c>
    </row>
    <row r="420" spans="1:14" x14ac:dyDescent="0.25">
      <c r="A420" t="s">
        <v>382</v>
      </c>
      <c r="B420" s="2">
        <v>45689</v>
      </c>
      <c r="C420" t="s">
        <v>35</v>
      </c>
      <c r="D420" t="s">
        <v>86</v>
      </c>
      <c r="E420" t="s">
        <v>118</v>
      </c>
      <c r="F420" t="s">
        <v>26</v>
      </c>
      <c r="G420" t="s">
        <v>27</v>
      </c>
      <c r="H420" t="s">
        <v>28</v>
      </c>
      <c r="I420" s="5">
        <v>89.84</v>
      </c>
      <c r="J420" s="8">
        <v>7</v>
      </c>
      <c r="K420" s="5">
        <v>44.33</v>
      </c>
      <c r="L420" t="s">
        <v>38</v>
      </c>
      <c r="M420">
        <v>2025</v>
      </c>
      <c r="N420">
        <f t="shared" si="6"/>
        <v>2</v>
      </c>
    </row>
    <row r="421" spans="1:14" x14ac:dyDescent="0.25">
      <c r="A421" t="s">
        <v>529</v>
      </c>
      <c r="B421" s="2">
        <v>45692</v>
      </c>
      <c r="C421" t="s">
        <v>23</v>
      </c>
      <c r="D421" t="s">
        <v>24</v>
      </c>
      <c r="E421" t="s">
        <v>103</v>
      </c>
      <c r="F421" t="s">
        <v>48</v>
      </c>
      <c r="G421" t="s">
        <v>68</v>
      </c>
      <c r="H421" t="s">
        <v>69</v>
      </c>
      <c r="I421" s="5">
        <v>302.08999999999997</v>
      </c>
      <c r="J421" s="8">
        <v>1</v>
      </c>
      <c r="K421" s="5">
        <v>108.01</v>
      </c>
      <c r="L421" t="s">
        <v>21</v>
      </c>
      <c r="M421">
        <v>2025</v>
      </c>
      <c r="N421">
        <f t="shared" si="6"/>
        <v>2</v>
      </c>
    </row>
    <row r="422" spans="1:14" x14ac:dyDescent="0.25">
      <c r="A422" t="s">
        <v>562</v>
      </c>
      <c r="B422" s="2">
        <v>45692</v>
      </c>
      <c r="C422" t="s">
        <v>35</v>
      </c>
      <c r="D422" t="s">
        <v>41</v>
      </c>
      <c r="E422" t="s">
        <v>42</v>
      </c>
      <c r="F422" t="s">
        <v>48</v>
      </c>
      <c r="G422" t="s">
        <v>151</v>
      </c>
      <c r="H422" t="s">
        <v>174</v>
      </c>
      <c r="I422" s="5">
        <v>1178.28</v>
      </c>
      <c r="J422" s="8">
        <v>4</v>
      </c>
      <c r="K422" s="5">
        <v>645.84</v>
      </c>
      <c r="L422" t="s">
        <v>21</v>
      </c>
      <c r="M422">
        <v>2025</v>
      </c>
      <c r="N422">
        <f t="shared" si="6"/>
        <v>2</v>
      </c>
    </row>
    <row r="423" spans="1:14" x14ac:dyDescent="0.25">
      <c r="A423" t="s">
        <v>313</v>
      </c>
      <c r="B423" s="2">
        <v>45699</v>
      </c>
      <c r="C423" t="s">
        <v>133</v>
      </c>
      <c r="D423" t="s">
        <v>16</v>
      </c>
      <c r="E423" t="s">
        <v>71</v>
      </c>
      <c r="F423" t="s">
        <v>18</v>
      </c>
      <c r="G423" t="s">
        <v>54</v>
      </c>
      <c r="H423" t="s">
        <v>108</v>
      </c>
      <c r="I423" s="5">
        <v>2901.58</v>
      </c>
      <c r="J423" s="8">
        <v>5</v>
      </c>
      <c r="K423" s="5">
        <v>1393.91</v>
      </c>
      <c r="L423" t="s">
        <v>29</v>
      </c>
      <c r="M423">
        <v>2025</v>
      </c>
      <c r="N423">
        <f t="shared" si="6"/>
        <v>2</v>
      </c>
    </row>
    <row r="424" spans="1:14" x14ac:dyDescent="0.25">
      <c r="A424" t="s">
        <v>399</v>
      </c>
      <c r="B424" s="2">
        <v>45701</v>
      </c>
      <c r="C424" t="s">
        <v>137</v>
      </c>
      <c r="D424" t="s">
        <v>36</v>
      </c>
      <c r="E424" t="s">
        <v>47</v>
      </c>
      <c r="F424" t="s">
        <v>18</v>
      </c>
      <c r="G424" t="s">
        <v>19</v>
      </c>
      <c r="H424" t="s">
        <v>20</v>
      </c>
      <c r="I424" s="5">
        <v>2312.6999999999998</v>
      </c>
      <c r="J424" s="8">
        <v>3</v>
      </c>
      <c r="K424" s="5">
        <v>1153.19</v>
      </c>
      <c r="L424" t="s">
        <v>21</v>
      </c>
      <c r="M424">
        <v>2025</v>
      </c>
      <c r="N424">
        <f t="shared" si="6"/>
        <v>2</v>
      </c>
    </row>
    <row r="425" spans="1:14" x14ac:dyDescent="0.25">
      <c r="A425" t="s">
        <v>328</v>
      </c>
      <c r="B425" s="2">
        <v>45705</v>
      </c>
      <c r="C425" t="s">
        <v>133</v>
      </c>
      <c r="D425" t="s">
        <v>125</v>
      </c>
      <c r="E425" t="s">
        <v>126</v>
      </c>
      <c r="F425" t="s">
        <v>18</v>
      </c>
      <c r="G425" t="s">
        <v>32</v>
      </c>
      <c r="H425" t="s">
        <v>33</v>
      </c>
      <c r="I425" s="5">
        <v>2467.71</v>
      </c>
      <c r="J425" s="8">
        <v>3</v>
      </c>
      <c r="K425" s="5">
        <v>869.35</v>
      </c>
      <c r="L425" t="s">
        <v>21</v>
      </c>
      <c r="M425">
        <v>2025</v>
      </c>
      <c r="N425">
        <f t="shared" si="6"/>
        <v>2</v>
      </c>
    </row>
    <row r="426" spans="1:14" x14ac:dyDescent="0.25">
      <c r="A426" t="s">
        <v>566</v>
      </c>
      <c r="B426" s="2">
        <v>45706</v>
      </c>
      <c r="C426" t="s">
        <v>114</v>
      </c>
      <c r="D426" t="s">
        <v>16</v>
      </c>
      <c r="E426" t="s">
        <v>17</v>
      </c>
      <c r="F426" t="s">
        <v>48</v>
      </c>
      <c r="G426" t="s">
        <v>130</v>
      </c>
      <c r="H426" t="s">
        <v>131</v>
      </c>
      <c r="I426" s="5">
        <v>1566.41</v>
      </c>
      <c r="J426" s="8">
        <v>4</v>
      </c>
      <c r="K426" s="5">
        <v>336.14</v>
      </c>
      <c r="L426" t="s">
        <v>29</v>
      </c>
      <c r="M426">
        <v>2025</v>
      </c>
      <c r="N426">
        <f t="shared" si="6"/>
        <v>2</v>
      </c>
    </row>
    <row r="427" spans="1:14" x14ac:dyDescent="0.25">
      <c r="A427" t="s">
        <v>460</v>
      </c>
      <c r="B427" s="2">
        <v>45707</v>
      </c>
      <c r="C427" t="s">
        <v>198</v>
      </c>
      <c r="D427" t="s">
        <v>74</v>
      </c>
      <c r="E427" t="s">
        <v>97</v>
      </c>
      <c r="F427" t="s">
        <v>48</v>
      </c>
      <c r="G427" t="s">
        <v>151</v>
      </c>
      <c r="H427" t="s">
        <v>174</v>
      </c>
      <c r="I427" s="5">
        <v>368.94</v>
      </c>
      <c r="J427" s="8">
        <v>1</v>
      </c>
      <c r="K427" s="5">
        <v>126.52</v>
      </c>
      <c r="L427" t="s">
        <v>21</v>
      </c>
      <c r="M427">
        <v>2025</v>
      </c>
      <c r="N427">
        <f t="shared" si="6"/>
        <v>2</v>
      </c>
    </row>
    <row r="428" spans="1:14" x14ac:dyDescent="0.25">
      <c r="A428" t="s">
        <v>64</v>
      </c>
      <c r="B428" s="2">
        <v>45708</v>
      </c>
      <c r="C428" t="s">
        <v>65</v>
      </c>
      <c r="D428" t="s">
        <v>66</v>
      </c>
      <c r="E428" t="s">
        <v>67</v>
      </c>
      <c r="F428" t="s">
        <v>48</v>
      </c>
      <c r="G428" t="s">
        <v>68</v>
      </c>
      <c r="H428" t="s">
        <v>69</v>
      </c>
      <c r="I428" s="5">
        <v>1272.71</v>
      </c>
      <c r="J428" s="8">
        <v>7</v>
      </c>
      <c r="K428" s="5">
        <v>330.25</v>
      </c>
      <c r="L428" t="s">
        <v>29</v>
      </c>
      <c r="M428">
        <v>2025</v>
      </c>
      <c r="N428">
        <f t="shared" si="6"/>
        <v>2</v>
      </c>
    </row>
    <row r="429" spans="1:14" x14ac:dyDescent="0.25">
      <c r="A429" t="s">
        <v>245</v>
      </c>
      <c r="B429" s="2">
        <v>45709</v>
      </c>
      <c r="C429" t="s">
        <v>84</v>
      </c>
      <c r="D429" t="s">
        <v>36</v>
      </c>
      <c r="E429" t="s">
        <v>128</v>
      </c>
      <c r="F429" t="s">
        <v>18</v>
      </c>
      <c r="G429" t="s">
        <v>32</v>
      </c>
      <c r="H429" t="s">
        <v>33</v>
      </c>
      <c r="I429" s="5">
        <v>766.1</v>
      </c>
      <c r="J429" s="8">
        <v>5</v>
      </c>
      <c r="K429" s="5">
        <v>342.01</v>
      </c>
      <c r="L429" t="s">
        <v>29</v>
      </c>
      <c r="M429">
        <v>2025</v>
      </c>
      <c r="N429">
        <f t="shared" si="6"/>
        <v>2</v>
      </c>
    </row>
    <row r="430" spans="1:14" x14ac:dyDescent="0.25">
      <c r="A430" t="s">
        <v>392</v>
      </c>
      <c r="B430" s="2">
        <v>45710</v>
      </c>
      <c r="C430" t="s">
        <v>62</v>
      </c>
      <c r="D430" t="s">
        <v>66</v>
      </c>
      <c r="E430" t="s">
        <v>271</v>
      </c>
      <c r="F430" t="s">
        <v>26</v>
      </c>
      <c r="G430" t="s">
        <v>27</v>
      </c>
      <c r="H430" t="s">
        <v>28</v>
      </c>
      <c r="I430" s="5">
        <v>147.36000000000001</v>
      </c>
      <c r="J430" s="8">
        <v>1</v>
      </c>
      <c r="K430" s="5">
        <v>42.28</v>
      </c>
      <c r="L430" t="s">
        <v>21</v>
      </c>
      <c r="M430">
        <v>2025</v>
      </c>
      <c r="N430">
        <f t="shared" si="6"/>
        <v>2</v>
      </c>
    </row>
    <row r="431" spans="1:14" x14ac:dyDescent="0.25">
      <c r="A431" t="s">
        <v>625</v>
      </c>
      <c r="B431" s="2">
        <v>45711</v>
      </c>
      <c r="C431" t="s">
        <v>65</v>
      </c>
      <c r="D431" t="s">
        <v>16</v>
      </c>
      <c r="E431" t="s">
        <v>17</v>
      </c>
      <c r="F431" t="s">
        <v>18</v>
      </c>
      <c r="G431" t="s">
        <v>54</v>
      </c>
      <c r="H431" t="s">
        <v>55</v>
      </c>
      <c r="I431" s="5">
        <v>5382.97</v>
      </c>
      <c r="J431" s="8">
        <v>7</v>
      </c>
      <c r="K431" s="5">
        <v>2170.08</v>
      </c>
      <c r="L431" t="s">
        <v>21</v>
      </c>
      <c r="M431">
        <v>2025</v>
      </c>
      <c r="N431">
        <f t="shared" si="6"/>
        <v>2</v>
      </c>
    </row>
    <row r="432" spans="1:14" x14ac:dyDescent="0.25">
      <c r="A432" t="s">
        <v>617</v>
      </c>
      <c r="B432" s="2">
        <v>45714</v>
      </c>
      <c r="C432" t="s">
        <v>40</v>
      </c>
      <c r="D432" t="s">
        <v>41</v>
      </c>
      <c r="E432" t="s">
        <v>42</v>
      </c>
      <c r="F432" t="s">
        <v>48</v>
      </c>
      <c r="G432" t="s">
        <v>68</v>
      </c>
      <c r="H432" t="s">
        <v>202</v>
      </c>
      <c r="I432" s="5">
        <v>5228.95</v>
      </c>
      <c r="J432" s="8">
        <v>8</v>
      </c>
      <c r="K432" s="5">
        <v>1531.33</v>
      </c>
      <c r="L432" t="s">
        <v>21</v>
      </c>
      <c r="M432">
        <v>2025</v>
      </c>
      <c r="N432">
        <f t="shared" si="6"/>
        <v>2</v>
      </c>
    </row>
    <row r="433" spans="1:14" x14ac:dyDescent="0.25">
      <c r="A433" t="s">
        <v>331</v>
      </c>
      <c r="B433" s="2">
        <v>45715</v>
      </c>
      <c r="C433" t="s">
        <v>137</v>
      </c>
      <c r="D433" t="s">
        <v>24</v>
      </c>
      <c r="E433" t="s">
        <v>25</v>
      </c>
      <c r="F433" t="s">
        <v>48</v>
      </c>
      <c r="G433" t="s">
        <v>68</v>
      </c>
      <c r="H433" t="s">
        <v>69</v>
      </c>
      <c r="I433" s="5">
        <v>1856.09</v>
      </c>
      <c r="J433" s="8">
        <v>6</v>
      </c>
      <c r="K433" s="5">
        <v>711.44</v>
      </c>
      <c r="L433" t="s">
        <v>21</v>
      </c>
      <c r="M433">
        <v>2025</v>
      </c>
      <c r="N433">
        <f t="shared" si="6"/>
        <v>2</v>
      </c>
    </row>
    <row r="434" spans="1:14" x14ac:dyDescent="0.25">
      <c r="A434" t="s">
        <v>445</v>
      </c>
      <c r="B434" s="2">
        <v>45716</v>
      </c>
      <c r="C434" t="s">
        <v>23</v>
      </c>
      <c r="D434" t="s">
        <v>66</v>
      </c>
      <c r="E434" t="s">
        <v>180</v>
      </c>
      <c r="F434" t="s">
        <v>48</v>
      </c>
      <c r="G434" t="s">
        <v>94</v>
      </c>
      <c r="H434" t="s">
        <v>104</v>
      </c>
      <c r="I434" s="5">
        <v>3285.72</v>
      </c>
      <c r="J434" s="8">
        <v>5</v>
      </c>
      <c r="K434" s="5">
        <v>1386.09</v>
      </c>
      <c r="L434" t="s">
        <v>38</v>
      </c>
      <c r="M434">
        <v>2025</v>
      </c>
      <c r="N434">
        <f t="shared" si="6"/>
        <v>3</v>
      </c>
    </row>
    <row r="435" spans="1:14" x14ac:dyDescent="0.25">
      <c r="A435" t="s">
        <v>367</v>
      </c>
      <c r="B435" s="2">
        <v>45717</v>
      </c>
      <c r="C435" t="s">
        <v>40</v>
      </c>
      <c r="D435" t="s">
        <v>52</v>
      </c>
      <c r="E435" t="s">
        <v>53</v>
      </c>
      <c r="F435" t="s">
        <v>18</v>
      </c>
      <c r="G435" t="s">
        <v>43</v>
      </c>
      <c r="H435" t="s">
        <v>44</v>
      </c>
      <c r="I435" s="5">
        <v>1118.49</v>
      </c>
      <c r="J435" s="8">
        <v>8</v>
      </c>
      <c r="K435" s="5">
        <v>319.95999999999998</v>
      </c>
      <c r="L435" t="s">
        <v>21</v>
      </c>
      <c r="M435">
        <v>2025</v>
      </c>
      <c r="N435">
        <f t="shared" si="6"/>
        <v>3</v>
      </c>
    </row>
    <row r="436" spans="1:14" x14ac:dyDescent="0.25">
      <c r="A436" t="s">
        <v>280</v>
      </c>
      <c r="B436" s="2">
        <v>45718</v>
      </c>
      <c r="C436" t="s">
        <v>65</v>
      </c>
      <c r="D436" t="s">
        <v>41</v>
      </c>
      <c r="E436" t="s">
        <v>58</v>
      </c>
      <c r="F436" t="s">
        <v>26</v>
      </c>
      <c r="G436" t="s">
        <v>81</v>
      </c>
      <c r="H436" t="s">
        <v>82</v>
      </c>
      <c r="I436" s="5">
        <v>1730.8</v>
      </c>
      <c r="J436" s="8">
        <v>2</v>
      </c>
      <c r="K436" s="5">
        <v>893.48</v>
      </c>
      <c r="L436" t="s">
        <v>29</v>
      </c>
      <c r="M436">
        <v>2025</v>
      </c>
      <c r="N436">
        <f t="shared" si="6"/>
        <v>3</v>
      </c>
    </row>
    <row r="437" spans="1:14" x14ac:dyDescent="0.25">
      <c r="A437" t="s">
        <v>413</v>
      </c>
      <c r="B437" s="2">
        <v>45721</v>
      </c>
      <c r="C437" t="s">
        <v>124</v>
      </c>
      <c r="D437" t="s">
        <v>41</v>
      </c>
      <c r="E437" t="s">
        <v>63</v>
      </c>
      <c r="F437" t="s">
        <v>48</v>
      </c>
      <c r="G437" t="s">
        <v>130</v>
      </c>
      <c r="H437" t="s">
        <v>139</v>
      </c>
      <c r="I437" s="5">
        <v>963.12</v>
      </c>
      <c r="J437" s="8">
        <v>2</v>
      </c>
      <c r="K437" s="5">
        <v>403.08</v>
      </c>
      <c r="L437" t="s">
        <v>29</v>
      </c>
      <c r="M437">
        <v>2025</v>
      </c>
      <c r="N437">
        <f t="shared" si="6"/>
        <v>3</v>
      </c>
    </row>
    <row r="438" spans="1:14" x14ac:dyDescent="0.25">
      <c r="A438" t="s">
        <v>155</v>
      </c>
      <c r="B438" s="2">
        <v>45723</v>
      </c>
      <c r="C438" t="s">
        <v>124</v>
      </c>
      <c r="D438" t="s">
        <v>79</v>
      </c>
      <c r="E438" t="s">
        <v>80</v>
      </c>
      <c r="F438" t="s">
        <v>48</v>
      </c>
      <c r="G438" t="s">
        <v>94</v>
      </c>
      <c r="H438" t="s">
        <v>104</v>
      </c>
      <c r="I438" s="5">
        <v>746.03</v>
      </c>
      <c r="J438" s="8">
        <v>1</v>
      </c>
      <c r="K438" s="5">
        <v>350.02</v>
      </c>
      <c r="L438" t="s">
        <v>21</v>
      </c>
      <c r="M438">
        <v>2025</v>
      </c>
      <c r="N438">
        <f t="shared" si="6"/>
        <v>3</v>
      </c>
    </row>
    <row r="439" spans="1:14" x14ac:dyDescent="0.25">
      <c r="A439" t="s">
        <v>536</v>
      </c>
      <c r="B439" s="2">
        <v>45723</v>
      </c>
      <c r="C439" t="s">
        <v>31</v>
      </c>
      <c r="D439" t="s">
        <v>125</v>
      </c>
      <c r="E439" t="s">
        <v>126</v>
      </c>
      <c r="F439" t="s">
        <v>18</v>
      </c>
      <c r="G439" t="s">
        <v>43</v>
      </c>
      <c r="H439" t="s">
        <v>44</v>
      </c>
      <c r="I439" s="5">
        <v>3996.5</v>
      </c>
      <c r="J439" s="8">
        <v>8</v>
      </c>
      <c r="K439" s="5">
        <v>742.91</v>
      </c>
      <c r="L439" t="s">
        <v>21</v>
      </c>
      <c r="M439">
        <v>2025</v>
      </c>
      <c r="N439">
        <f t="shared" si="6"/>
        <v>3</v>
      </c>
    </row>
    <row r="440" spans="1:14" x14ac:dyDescent="0.25">
      <c r="A440" t="s">
        <v>639</v>
      </c>
      <c r="B440" s="2">
        <v>45725</v>
      </c>
      <c r="C440" t="s">
        <v>111</v>
      </c>
      <c r="D440" t="s">
        <v>66</v>
      </c>
      <c r="E440" t="s">
        <v>67</v>
      </c>
      <c r="F440" t="s">
        <v>26</v>
      </c>
      <c r="G440" t="s">
        <v>98</v>
      </c>
      <c r="H440" t="s">
        <v>99</v>
      </c>
      <c r="I440" s="5">
        <v>1271.72</v>
      </c>
      <c r="J440" s="8">
        <v>5</v>
      </c>
      <c r="K440" s="5">
        <v>540.91999999999996</v>
      </c>
      <c r="L440" t="s">
        <v>21</v>
      </c>
      <c r="M440">
        <v>2025</v>
      </c>
      <c r="N440">
        <f t="shared" si="6"/>
        <v>3</v>
      </c>
    </row>
    <row r="441" spans="1:14" x14ac:dyDescent="0.25">
      <c r="A441" t="s">
        <v>513</v>
      </c>
      <c r="B441" s="2">
        <v>45733</v>
      </c>
      <c r="C441" t="s">
        <v>65</v>
      </c>
      <c r="D441" t="s">
        <v>24</v>
      </c>
      <c r="E441" t="s">
        <v>377</v>
      </c>
      <c r="F441" t="s">
        <v>48</v>
      </c>
      <c r="G441" t="s">
        <v>94</v>
      </c>
      <c r="H441" t="s">
        <v>95</v>
      </c>
      <c r="I441" s="5">
        <v>2955.28</v>
      </c>
      <c r="J441" s="8">
        <v>6</v>
      </c>
      <c r="K441" s="5">
        <v>824.75</v>
      </c>
      <c r="L441" t="s">
        <v>21</v>
      </c>
      <c r="M441">
        <v>2025</v>
      </c>
      <c r="N441">
        <f t="shared" si="6"/>
        <v>3</v>
      </c>
    </row>
    <row r="442" spans="1:14" x14ac:dyDescent="0.25">
      <c r="A442" t="s">
        <v>207</v>
      </c>
      <c r="B442" s="2">
        <v>45735</v>
      </c>
      <c r="C442" t="s">
        <v>57</v>
      </c>
      <c r="D442" t="s">
        <v>16</v>
      </c>
      <c r="E442" t="s">
        <v>17</v>
      </c>
      <c r="F442" t="s">
        <v>26</v>
      </c>
      <c r="G442" t="s">
        <v>98</v>
      </c>
      <c r="H442" t="s">
        <v>176</v>
      </c>
      <c r="I442" s="5">
        <v>1636.94</v>
      </c>
      <c r="J442" s="8">
        <v>2</v>
      </c>
      <c r="K442" s="5">
        <v>418.93</v>
      </c>
      <c r="L442" t="s">
        <v>21</v>
      </c>
      <c r="M442">
        <v>2025</v>
      </c>
      <c r="N442">
        <f t="shared" si="6"/>
        <v>3</v>
      </c>
    </row>
    <row r="443" spans="1:14" x14ac:dyDescent="0.25">
      <c r="A443" t="s">
        <v>416</v>
      </c>
      <c r="B443" s="2">
        <v>45737</v>
      </c>
      <c r="C443" t="s">
        <v>40</v>
      </c>
      <c r="D443" t="s">
        <v>66</v>
      </c>
      <c r="E443" t="s">
        <v>271</v>
      </c>
      <c r="F443" t="s">
        <v>48</v>
      </c>
      <c r="G443" t="s">
        <v>59</v>
      </c>
      <c r="H443" t="s">
        <v>60</v>
      </c>
      <c r="I443" s="5">
        <v>393.78</v>
      </c>
      <c r="J443" s="8">
        <v>1</v>
      </c>
      <c r="K443" s="5">
        <v>125.12</v>
      </c>
      <c r="L443" t="s">
        <v>21</v>
      </c>
      <c r="M443">
        <v>2025</v>
      </c>
      <c r="N443">
        <f t="shared" si="6"/>
        <v>3</v>
      </c>
    </row>
    <row r="444" spans="1:14" x14ac:dyDescent="0.25">
      <c r="A444" t="s">
        <v>361</v>
      </c>
      <c r="B444" s="2">
        <v>45738</v>
      </c>
      <c r="C444" t="s">
        <v>40</v>
      </c>
      <c r="D444" t="s">
        <v>86</v>
      </c>
      <c r="E444" t="s">
        <v>118</v>
      </c>
      <c r="F444" t="s">
        <v>48</v>
      </c>
      <c r="G444" t="s">
        <v>130</v>
      </c>
      <c r="H444" t="s">
        <v>139</v>
      </c>
      <c r="I444" s="5">
        <v>465.48</v>
      </c>
      <c r="J444" s="8">
        <v>1</v>
      </c>
      <c r="K444" s="5">
        <v>97.41</v>
      </c>
      <c r="L444" t="s">
        <v>21</v>
      </c>
      <c r="M444">
        <v>2025</v>
      </c>
      <c r="N444">
        <f t="shared" si="6"/>
        <v>3</v>
      </c>
    </row>
    <row r="445" spans="1:14" x14ac:dyDescent="0.25">
      <c r="A445" t="s">
        <v>322</v>
      </c>
      <c r="B445" s="2">
        <v>45739</v>
      </c>
      <c r="C445" t="s">
        <v>111</v>
      </c>
      <c r="D445" t="s">
        <v>125</v>
      </c>
      <c r="E445" t="s">
        <v>146</v>
      </c>
      <c r="F445" t="s">
        <v>18</v>
      </c>
      <c r="G445" t="s">
        <v>19</v>
      </c>
      <c r="H445" t="s">
        <v>72</v>
      </c>
      <c r="I445" s="5">
        <v>189.75</v>
      </c>
      <c r="J445" s="8">
        <v>5</v>
      </c>
      <c r="K445" s="5">
        <v>75.489999999999995</v>
      </c>
      <c r="L445" t="s">
        <v>21</v>
      </c>
      <c r="M445">
        <v>2025</v>
      </c>
      <c r="N445">
        <f t="shared" si="6"/>
        <v>3</v>
      </c>
    </row>
    <row r="446" spans="1:14" x14ac:dyDescent="0.25">
      <c r="A446" t="s">
        <v>327</v>
      </c>
      <c r="B446" s="2">
        <v>45739</v>
      </c>
      <c r="C446" t="s">
        <v>160</v>
      </c>
      <c r="D446" t="s">
        <v>24</v>
      </c>
      <c r="E446" t="s">
        <v>25</v>
      </c>
      <c r="F446" t="s">
        <v>48</v>
      </c>
      <c r="G446" t="s">
        <v>59</v>
      </c>
      <c r="H446" t="s">
        <v>142</v>
      </c>
      <c r="I446" s="5">
        <v>683.86</v>
      </c>
      <c r="J446" s="8">
        <v>6</v>
      </c>
      <c r="K446" s="5">
        <v>361.86</v>
      </c>
      <c r="L446" t="s">
        <v>21</v>
      </c>
      <c r="M446">
        <v>2025</v>
      </c>
      <c r="N446">
        <f t="shared" si="6"/>
        <v>3</v>
      </c>
    </row>
    <row r="447" spans="1:14" x14ac:dyDescent="0.25">
      <c r="A447" t="s">
        <v>499</v>
      </c>
      <c r="B447" s="2">
        <v>45740</v>
      </c>
      <c r="C447" t="s">
        <v>23</v>
      </c>
      <c r="D447" t="s">
        <v>86</v>
      </c>
      <c r="E447" t="s">
        <v>116</v>
      </c>
      <c r="F447" t="s">
        <v>48</v>
      </c>
      <c r="G447" t="s">
        <v>68</v>
      </c>
      <c r="H447" t="s">
        <v>202</v>
      </c>
      <c r="I447" s="5">
        <v>1259.78</v>
      </c>
      <c r="J447" s="8">
        <v>5</v>
      </c>
      <c r="K447" s="5">
        <v>357.72</v>
      </c>
      <c r="L447" t="s">
        <v>21</v>
      </c>
      <c r="M447">
        <v>2025</v>
      </c>
      <c r="N447">
        <f t="shared" si="6"/>
        <v>3</v>
      </c>
    </row>
    <row r="448" spans="1:14" x14ac:dyDescent="0.25">
      <c r="A448" t="s">
        <v>676</v>
      </c>
      <c r="B448" s="2">
        <v>45741</v>
      </c>
      <c r="C448" t="s">
        <v>23</v>
      </c>
      <c r="D448" t="s">
        <v>125</v>
      </c>
      <c r="E448" t="s">
        <v>126</v>
      </c>
      <c r="F448" t="s">
        <v>48</v>
      </c>
      <c r="G448" t="s">
        <v>68</v>
      </c>
      <c r="H448" t="s">
        <v>69</v>
      </c>
      <c r="I448" s="5">
        <v>590.54</v>
      </c>
      <c r="J448" s="8">
        <v>6</v>
      </c>
      <c r="K448" s="5">
        <v>285.45999999999998</v>
      </c>
      <c r="L448" t="s">
        <v>21</v>
      </c>
      <c r="M448">
        <v>2025</v>
      </c>
      <c r="N448">
        <f t="shared" si="6"/>
        <v>3</v>
      </c>
    </row>
    <row r="449" spans="1:14" x14ac:dyDescent="0.25">
      <c r="A449" t="s">
        <v>143</v>
      </c>
      <c r="B449" s="2">
        <v>45745</v>
      </c>
      <c r="C449" t="s">
        <v>120</v>
      </c>
      <c r="D449" t="s">
        <v>52</v>
      </c>
      <c r="E449" t="s">
        <v>144</v>
      </c>
      <c r="F449" t="s">
        <v>18</v>
      </c>
      <c r="G449" t="s">
        <v>54</v>
      </c>
      <c r="H449" t="s">
        <v>55</v>
      </c>
      <c r="I449" s="5">
        <v>1188.1199999999999</v>
      </c>
      <c r="J449" s="8">
        <v>8</v>
      </c>
      <c r="K449" s="5">
        <v>444.49</v>
      </c>
      <c r="L449" t="s">
        <v>21</v>
      </c>
      <c r="M449">
        <v>2025</v>
      </c>
      <c r="N449">
        <f t="shared" si="6"/>
        <v>4</v>
      </c>
    </row>
    <row r="450" spans="1:14" x14ac:dyDescent="0.25">
      <c r="A450" t="s">
        <v>451</v>
      </c>
      <c r="B450" s="2">
        <v>45753</v>
      </c>
      <c r="C450" t="s">
        <v>198</v>
      </c>
      <c r="D450" t="s">
        <v>79</v>
      </c>
      <c r="E450" t="s">
        <v>138</v>
      </c>
      <c r="F450" t="s">
        <v>26</v>
      </c>
      <c r="G450" t="s">
        <v>98</v>
      </c>
      <c r="H450" t="s">
        <v>99</v>
      </c>
      <c r="I450" s="5">
        <v>416.7</v>
      </c>
      <c r="J450" s="8">
        <v>2</v>
      </c>
      <c r="K450" s="5">
        <v>201.74</v>
      </c>
      <c r="L450" t="s">
        <v>38</v>
      </c>
      <c r="M450">
        <v>2025</v>
      </c>
      <c r="N450">
        <f t="shared" ref="N450:N513" si="7">MONTH(B451)</f>
        <v>4</v>
      </c>
    </row>
    <row r="451" spans="1:14" x14ac:dyDescent="0.25">
      <c r="A451" t="s">
        <v>186</v>
      </c>
      <c r="B451" s="2">
        <v>45754</v>
      </c>
      <c r="C451" t="s">
        <v>160</v>
      </c>
      <c r="D451" t="s">
        <v>79</v>
      </c>
      <c r="E451" t="s">
        <v>80</v>
      </c>
      <c r="F451" t="s">
        <v>48</v>
      </c>
      <c r="G451" t="s">
        <v>49</v>
      </c>
      <c r="H451" t="s">
        <v>158</v>
      </c>
      <c r="I451" s="5">
        <v>1289</v>
      </c>
      <c r="J451" s="8">
        <v>2</v>
      </c>
      <c r="K451" s="5">
        <v>654.83000000000004</v>
      </c>
      <c r="L451" t="s">
        <v>29</v>
      </c>
      <c r="M451">
        <v>2025</v>
      </c>
      <c r="N451">
        <f t="shared" si="7"/>
        <v>4</v>
      </c>
    </row>
    <row r="452" spans="1:14" x14ac:dyDescent="0.25">
      <c r="A452" t="s">
        <v>231</v>
      </c>
      <c r="B452" s="2">
        <v>45756</v>
      </c>
      <c r="C452" t="s">
        <v>31</v>
      </c>
      <c r="D452" t="s">
        <v>41</v>
      </c>
      <c r="E452" t="s">
        <v>63</v>
      </c>
      <c r="F452" t="s">
        <v>18</v>
      </c>
      <c r="G452" t="s">
        <v>32</v>
      </c>
      <c r="H452" t="s">
        <v>33</v>
      </c>
      <c r="I452" s="5">
        <v>669.88</v>
      </c>
      <c r="J452" s="8">
        <v>2</v>
      </c>
      <c r="K452" s="5">
        <v>125.08</v>
      </c>
      <c r="L452" t="s">
        <v>21</v>
      </c>
      <c r="M452">
        <v>2025</v>
      </c>
      <c r="N452">
        <f t="shared" si="7"/>
        <v>4</v>
      </c>
    </row>
    <row r="453" spans="1:14" x14ac:dyDescent="0.25">
      <c r="A453" t="s">
        <v>323</v>
      </c>
      <c r="B453" s="2">
        <v>45757</v>
      </c>
      <c r="C453" t="s">
        <v>124</v>
      </c>
      <c r="D453" t="s">
        <v>125</v>
      </c>
      <c r="E453" t="s">
        <v>126</v>
      </c>
      <c r="F453" t="s">
        <v>18</v>
      </c>
      <c r="G453" t="s">
        <v>43</v>
      </c>
      <c r="H453" t="s">
        <v>44</v>
      </c>
      <c r="I453" s="5">
        <v>1451.38</v>
      </c>
      <c r="J453" s="8">
        <v>2</v>
      </c>
      <c r="K453" s="5">
        <v>268.08</v>
      </c>
      <c r="L453" t="s">
        <v>38</v>
      </c>
      <c r="M453">
        <v>2025</v>
      </c>
      <c r="N453">
        <f t="shared" si="7"/>
        <v>4</v>
      </c>
    </row>
    <row r="454" spans="1:14" x14ac:dyDescent="0.25">
      <c r="A454" t="s">
        <v>607</v>
      </c>
      <c r="B454" s="2">
        <v>45757</v>
      </c>
      <c r="C454" t="s">
        <v>31</v>
      </c>
      <c r="D454" t="s">
        <v>79</v>
      </c>
      <c r="E454" t="s">
        <v>80</v>
      </c>
      <c r="F454" t="s">
        <v>48</v>
      </c>
      <c r="G454" t="s">
        <v>49</v>
      </c>
      <c r="H454" t="s">
        <v>50</v>
      </c>
      <c r="I454" s="5">
        <v>853.34</v>
      </c>
      <c r="J454" s="8">
        <v>2</v>
      </c>
      <c r="K454" s="5">
        <v>229.05</v>
      </c>
      <c r="L454" t="s">
        <v>21</v>
      </c>
      <c r="M454">
        <v>2025</v>
      </c>
      <c r="N454">
        <f t="shared" si="7"/>
        <v>4</v>
      </c>
    </row>
    <row r="455" spans="1:14" x14ac:dyDescent="0.25">
      <c r="A455" t="s">
        <v>641</v>
      </c>
      <c r="B455" s="2">
        <v>45757</v>
      </c>
      <c r="C455" t="s">
        <v>92</v>
      </c>
      <c r="D455" t="s">
        <v>24</v>
      </c>
      <c r="E455" t="s">
        <v>25</v>
      </c>
      <c r="F455" t="s">
        <v>48</v>
      </c>
      <c r="G455" t="s">
        <v>151</v>
      </c>
      <c r="H455" t="s">
        <v>152</v>
      </c>
      <c r="I455" s="5">
        <v>44.22</v>
      </c>
      <c r="J455" s="8">
        <v>1</v>
      </c>
      <c r="K455" s="5">
        <v>15.23</v>
      </c>
      <c r="L455" t="s">
        <v>21</v>
      </c>
      <c r="M455">
        <v>2025</v>
      </c>
      <c r="N455">
        <f t="shared" si="7"/>
        <v>4</v>
      </c>
    </row>
    <row r="456" spans="1:14" x14ac:dyDescent="0.25">
      <c r="A456" t="s">
        <v>610</v>
      </c>
      <c r="B456" s="2">
        <v>45758</v>
      </c>
      <c r="C456" t="s">
        <v>133</v>
      </c>
      <c r="D456" t="s">
        <v>36</v>
      </c>
      <c r="E456" t="s">
        <v>128</v>
      </c>
      <c r="F456" t="s">
        <v>26</v>
      </c>
      <c r="G456" t="s">
        <v>98</v>
      </c>
      <c r="H456" t="s">
        <v>99</v>
      </c>
      <c r="I456" s="5">
        <v>1773.2</v>
      </c>
      <c r="J456" s="8">
        <v>5</v>
      </c>
      <c r="K456" s="5">
        <v>898.3</v>
      </c>
      <c r="L456" t="s">
        <v>21</v>
      </c>
      <c r="M456">
        <v>2025</v>
      </c>
      <c r="N456">
        <f t="shared" si="7"/>
        <v>4</v>
      </c>
    </row>
    <row r="457" spans="1:14" x14ac:dyDescent="0.25">
      <c r="A457" t="s">
        <v>121</v>
      </c>
      <c r="B457" s="2">
        <v>45759</v>
      </c>
      <c r="C457" t="s">
        <v>120</v>
      </c>
      <c r="D457" t="s">
        <v>36</v>
      </c>
      <c r="E457" t="s">
        <v>47</v>
      </c>
      <c r="F457" t="s">
        <v>18</v>
      </c>
      <c r="G457" t="s">
        <v>54</v>
      </c>
      <c r="H457" t="s">
        <v>108</v>
      </c>
      <c r="I457" s="5">
        <v>3841</v>
      </c>
      <c r="J457" s="8">
        <v>6</v>
      </c>
      <c r="K457" s="5">
        <v>989.58</v>
      </c>
      <c r="L457" t="s">
        <v>29</v>
      </c>
      <c r="M457">
        <v>2025</v>
      </c>
      <c r="N457">
        <f t="shared" si="7"/>
        <v>4</v>
      </c>
    </row>
    <row r="458" spans="1:14" x14ac:dyDescent="0.25">
      <c r="A458" t="s">
        <v>168</v>
      </c>
      <c r="B458" s="2">
        <v>45759</v>
      </c>
      <c r="C458" t="s">
        <v>15</v>
      </c>
      <c r="D458" t="s">
        <v>74</v>
      </c>
      <c r="E458" t="s">
        <v>75</v>
      </c>
      <c r="F458" t="s">
        <v>18</v>
      </c>
      <c r="G458" t="s">
        <v>54</v>
      </c>
      <c r="H458" t="s">
        <v>108</v>
      </c>
      <c r="I458" s="5">
        <v>961.11</v>
      </c>
      <c r="J458" s="8">
        <v>4</v>
      </c>
      <c r="K458" s="5">
        <v>275.32</v>
      </c>
      <c r="L458" t="s">
        <v>38</v>
      </c>
      <c r="M458">
        <v>2025</v>
      </c>
      <c r="N458">
        <f t="shared" si="7"/>
        <v>4</v>
      </c>
    </row>
    <row r="459" spans="1:14" x14ac:dyDescent="0.25">
      <c r="A459" t="s">
        <v>718</v>
      </c>
      <c r="B459" s="2">
        <v>45760</v>
      </c>
      <c r="C459" t="s">
        <v>35</v>
      </c>
      <c r="D459" t="s">
        <v>24</v>
      </c>
      <c r="E459" t="s">
        <v>25</v>
      </c>
      <c r="F459" t="s">
        <v>26</v>
      </c>
      <c r="G459" t="s">
        <v>81</v>
      </c>
      <c r="H459" t="s">
        <v>82</v>
      </c>
      <c r="I459" s="5">
        <v>296.42</v>
      </c>
      <c r="J459" s="8">
        <v>2</v>
      </c>
      <c r="K459" s="5">
        <v>134.87</v>
      </c>
      <c r="L459" t="s">
        <v>21</v>
      </c>
      <c r="M459">
        <v>2025</v>
      </c>
      <c r="N459">
        <f t="shared" si="7"/>
        <v>4</v>
      </c>
    </row>
    <row r="460" spans="1:14" x14ac:dyDescent="0.25">
      <c r="A460" t="s">
        <v>497</v>
      </c>
      <c r="B460" s="2">
        <v>45763</v>
      </c>
      <c r="C460" t="s">
        <v>92</v>
      </c>
      <c r="D460" t="s">
        <v>66</v>
      </c>
      <c r="E460" t="s">
        <v>271</v>
      </c>
      <c r="F460" t="s">
        <v>48</v>
      </c>
      <c r="G460" t="s">
        <v>59</v>
      </c>
      <c r="H460" t="s">
        <v>142</v>
      </c>
      <c r="I460" s="5">
        <v>3340.34</v>
      </c>
      <c r="J460" s="8">
        <v>5</v>
      </c>
      <c r="K460" s="5">
        <v>1725.54</v>
      </c>
      <c r="L460" t="s">
        <v>21</v>
      </c>
      <c r="M460">
        <v>2025</v>
      </c>
      <c r="N460">
        <f t="shared" si="7"/>
        <v>4</v>
      </c>
    </row>
    <row r="461" spans="1:14" x14ac:dyDescent="0.25">
      <c r="A461" t="s">
        <v>304</v>
      </c>
      <c r="B461" s="2">
        <v>45764</v>
      </c>
      <c r="C461" t="s">
        <v>120</v>
      </c>
      <c r="D461" t="s">
        <v>74</v>
      </c>
      <c r="E461" t="s">
        <v>75</v>
      </c>
      <c r="F461" t="s">
        <v>26</v>
      </c>
      <c r="G461" t="s">
        <v>98</v>
      </c>
      <c r="H461" t="s">
        <v>99</v>
      </c>
      <c r="I461" s="5">
        <v>2149.31</v>
      </c>
      <c r="J461" s="8">
        <v>5</v>
      </c>
      <c r="K461" s="5">
        <v>416.12</v>
      </c>
      <c r="L461" t="s">
        <v>21</v>
      </c>
      <c r="M461">
        <v>2025</v>
      </c>
      <c r="N461">
        <f t="shared" si="7"/>
        <v>4</v>
      </c>
    </row>
    <row r="462" spans="1:14" x14ac:dyDescent="0.25">
      <c r="A462" t="s">
        <v>498</v>
      </c>
      <c r="B462" s="2">
        <v>45764</v>
      </c>
      <c r="C462" t="s">
        <v>114</v>
      </c>
      <c r="D462" t="s">
        <v>74</v>
      </c>
      <c r="E462" t="s">
        <v>75</v>
      </c>
      <c r="F462" t="s">
        <v>48</v>
      </c>
      <c r="G462" t="s">
        <v>130</v>
      </c>
      <c r="H462" t="s">
        <v>139</v>
      </c>
      <c r="I462" s="5">
        <v>3744.78</v>
      </c>
      <c r="J462" s="8">
        <v>6</v>
      </c>
      <c r="K462" s="5">
        <v>1520.23</v>
      </c>
      <c r="L462" t="s">
        <v>21</v>
      </c>
      <c r="M462">
        <v>2025</v>
      </c>
      <c r="N462">
        <f t="shared" si="7"/>
        <v>4</v>
      </c>
    </row>
    <row r="463" spans="1:14" x14ac:dyDescent="0.25">
      <c r="A463" t="s">
        <v>193</v>
      </c>
      <c r="B463" s="2">
        <v>45768</v>
      </c>
      <c r="C463" t="s">
        <v>31</v>
      </c>
      <c r="D463" t="s">
        <v>36</v>
      </c>
      <c r="E463" t="s">
        <v>47</v>
      </c>
      <c r="F463" t="s">
        <v>18</v>
      </c>
      <c r="G463" t="s">
        <v>54</v>
      </c>
      <c r="H463" t="s">
        <v>55</v>
      </c>
      <c r="I463" s="5">
        <v>1280.45</v>
      </c>
      <c r="J463" s="8">
        <v>4</v>
      </c>
      <c r="K463" s="5">
        <v>298.55</v>
      </c>
      <c r="L463" t="s">
        <v>21</v>
      </c>
      <c r="M463">
        <v>2025</v>
      </c>
      <c r="N463">
        <f t="shared" si="7"/>
        <v>4</v>
      </c>
    </row>
    <row r="464" spans="1:14" x14ac:dyDescent="0.25">
      <c r="A464" t="s">
        <v>391</v>
      </c>
      <c r="B464" s="2">
        <v>45770</v>
      </c>
      <c r="C464" t="s">
        <v>62</v>
      </c>
      <c r="D464" t="s">
        <v>24</v>
      </c>
      <c r="E464" t="s">
        <v>377</v>
      </c>
      <c r="F464" t="s">
        <v>18</v>
      </c>
      <c r="G464" t="s">
        <v>54</v>
      </c>
      <c r="H464" t="s">
        <v>55</v>
      </c>
      <c r="I464" s="5">
        <v>3107.46</v>
      </c>
      <c r="J464" s="8">
        <v>8</v>
      </c>
      <c r="K464" s="5">
        <v>824.37</v>
      </c>
      <c r="L464" t="s">
        <v>29</v>
      </c>
      <c r="M464">
        <v>2025</v>
      </c>
      <c r="N464">
        <f t="shared" si="7"/>
        <v>4</v>
      </c>
    </row>
    <row r="465" spans="1:14" x14ac:dyDescent="0.25">
      <c r="A465" t="s">
        <v>686</v>
      </c>
      <c r="B465" s="2">
        <v>45770</v>
      </c>
      <c r="C465" t="s">
        <v>46</v>
      </c>
      <c r="D465" t="s">
        <v>66</v>
      </c>
      <c r="E465" t="s">
        <v>180</v>
      </c>
      <c r="F465" t="s">
        <v>26</v>
      </c>
      <c r="G465" t="s">
        <v>81</v>
      </c>
      <c r="H465" t="s">
        <v>82</v>
      </c>
      <c r="I465" s="5">
        <v>992.7</v>
      </c>
      <c r="J465" s="8">
        <v>8</v>
      </c>
      <c r="K465" s="5">
        <v>227.12</v>
      </c>
      <c r="L465" t="s">
        <v>21</v>
      </c>
      <c r="M465">
        <v>2025</v>
      </c>
      <c r="N465">
        <f t="shared" si="7"/>
        <v>4</v>
      </c>
    </row>
    <row r="466" spans="1:14" x14ac:dyDescent="0.25">
      <c r="A466" t="s">
        <v>706</v>
      </c>
      <c r="B466" s="2">
        <v>45770</v>
      </c>
      <c r="C466" t="s">
        <v>198</v>
      </c>
      <c r="D466" t="s">
        <v>36</v>
      </c>
      <c r="E466" t="s">
        <v>37</v>
      </c>
      <c r="F466" t="s">
        <v>26</v>
      </c>
      <c r="G466" t="s">
        <v>98</v>
      </c>
      <c r="H466" t="s">
        <v>176</v>
      </c>
      <c r="I466" s="5">
        <v>438.62</v>
      </c>
      <c r="J466" s="8">
        <v>6</v>
      </c>
      <c r="K466" s="5">
        <v>213.9</v>
      </c>
      <c r="L466" t="s">
        <v>21</v>
      </c>
      <c r="M466">
        <v>2025</v>
      </c>
      <c r="N466">
        <f t="shared" si="7"/>
        <v>4</v>
      </c>
    </row>
    <row r="467" spans="1:14" x14ac:dyDescent="0.25">
      <c r="A467" t="s">
        <v>594</v>
      </c>
      <c r="B467" s="2">
        <v>45774</v>
      </c>
      <c r="C467" t="s">
        <v>84</v>
      </c>
      <c r="D467" t="s">
        <v>66</v>
      </c>
      <c r="E467" t="s">
        <v>271</v>
      </c>
      <c r="F467" t="s">
        <v>26</v>
      </c>
      <c r="G467" t="s">
        <v>98</v>
      </c>
      <c r="H467" t="s">
        <v>176</v>
      </c>
      <c r="I467" s="5">
        <v>6821.23</v>
      </c>
      <c r="J467" s="8">
        <v>8</v>
      </c>
      <c r="K467" s="5">
        <v>2612.44</v>
      </c>
      <c r="L467" t="s">
        <v>21</v>
      </c>
      <c r="M467">
        <v>2025</v>
      </c>
      <c r="N467">
        <f t="shared" si="7"/>
        <v>4</v>
      </c>
    </row>
    <row r="468" spans="1:14" x14ac:dyDescent="0.25">
      <c r="A468" t="s">
        <v>227</v>
      </c>
      <c r="B468" s="2">
        <v>45775</v>
      </c>
      <c r="C468" t="s">
        <v>92</v>
      </c>
      <c r="D468" t="s">
        <v>86</v>
      </c>
      <c r="E468" t="s">
        <v>87</v>
      </c>
      <c r="F468" t="s">
        <v>18</v>
      </c>
      <c r="G468" t="s">
        <v>32</v>
      </c>
      <c r="H468" t="s">
        <v>33</v>
      </c>
      <c r="I468" s="5">
        <v>6079.92</v>
      </c>
      <c r="J468" s="8">
        <v>8</v>
      </c>
      <c r="K468" s="5">
        <v>3184.37</v>
      </c>
      <c r="L468" t="s">
        <v>21</v>
      </c>
      <c r="M468">
        <v>2025</v>
      </c>
      <c r="N468">
        <f t="shared" si="7"/>
        <v>4</v>
      </c>
    </row>
    <row r="469" spans="1:14" x14ac:dyDescent="0.25">
      <c r="A469" t="s">
        <v>153</v>
      </c>
      <c r="B469" s="2">
        <v>45776</v>
      </c>
      <c r="C469" t="s">
        <v>31</v>
      </c>
      <c r="D469" t="s">
        <v>125</v>
      </c>
      <c r="E469" t="s">
        <v>126</v>
      </c>
      <c r="F469" t="s">
        <v>18</v>
      </c>
      <c r="G469" t="s">
        <v>54</v>
      </c>
      <c r="H469" t="s">
        <v>108</v>
      </c>
      <c r="I469" s="5">
        <v>449.52</v>
      </c>
      <c r="J469" s="8">
        <v>2</v>
      </c>
      <c r="K469" s="5">
        <v>100.79</v>
      </c>
      <c r="L469" t="s">
        <v>38</v>
      </c>
      <c r="M469">
        <v>2025</v>
      </c>
      <c r="N469">
        <f t="shared" si="7"/>
        <v>4</v>
      </c>
    </row>
    <row r="470" spans="1:14" x14ac:dyDescent="0.25">
      <c r="A470" t="s">
        <v>591</v>
      </c>
      <c r="B470" s="2">
        <v>45776</v>
      </c>
      <c r="C470" t="s">
        <v>198</v>
      </c>
      <c r="D470" t="s">
        <v>16</v>
      </c>
      <c r="E470" t="s">
        <v>17</v>
      </c>
      <c r="F470" t="s">
        <v>48</v>
      </c>
      <c r="G470" t="s">
        <v>130</v>
      </c>
      <c r="H470" t="s">
        <v>139</v>
      </c>
      <c r="I470" s="5">
        <v>92.29</v>
      </c>
      <c r="J470" s="8">
        <v>4</v>
      </c>
      <c r="K470" s="5">
        <v>38.06</v>
      </c>
      <c r="L470" t="s">
        <v>38</v>
      </c>
      <c r="M470">
        <v>2025</v>
      </c>
      <c r="N470">
        <f t="shared" si="7"/>
        <v>5</v>
      </c>
    </row>
    <row r="471" spans="1:14" x14ac:dyDescent="0.25">
      <c r="A471" t="s">
        <v>427</v>
      </c>
      <c r="B471" s="2">
        <v>45784</v>
      </c>
      <c r="C471" t="s">
        <v>124</v>
      </c>
      <c r="D471" t="s">
        <v>66</v>
      </c>
      <c r="E471" t="s">
        <v>67</v>
      </c>
      <c r="F471" t="s">
        <v>26</v>
      </c>
      <c r="G471" t="s">
        <v>98</v>
      </c>
      <c r="H471" t="s">
        <v>176</v>
      </c>
      <c r="I471" s="5">
        <v>2906.81</v>
      </c>
      <c r="J471" s="8">
        <v>5</v>
      </c>
      <c r="K471" s="5">
        <v>990.53</v>
      </c>
      <c r="L471" t="s">
        <v>38</v>
      </c>
      <c r="M471">
        <v>2025</v>
      </c>
      <c r="N471">
        <f t="shared" si="7"/>
        <v>5</v>
      </c>
    </row>
    <row r="472" spans="1:14" x14ac:dyDescent="0.25">
      <c r="A472" t="s">
        <v>106</v>
      </c>
      <c r="B472" s="2">
        <v>45785</v>
      </c>
      <c r="C472" t="s">
        <v>78</v>
      </c>
      <c r="D472" t="s">
        <v>52</v>
      </c>
      <c r="E472" t="s">
        <v>107</v>
      </c>
      <c r="F472" t="s">
        <v>18</v>
      </c>
      <c r="G472" t="s">
        <v>54</v>
      </c>
      <c r="H472" t="s">
        <v>108</v>
      </c>
      <c r="I472" s="5">
        <v>137.04</v>
      </c>
      <c r="J472" s="8">
        <v>2</v>
      </c>
      <c r="K472" s="5">
        <v>48.96</v>
      </c>
      <c r="L472" t="s">
        <v>29</v>
      </c>
      <c r="M472">
        <v>2025</v>
      </c>
      <c r="N472">
        <f t="shared" si="7"/>
        <v>5</v>
      </c>
    </row>
    <row r="473" spans="1:14" x14ac:dyDescent="0.25">
      <c r="A473" t="s">
        <v>721</v>
      </c>
      <c r="B473" s="2">
        <v>45794</v>
      </c>
      <c r="C473" t="s">
        <v>40</v>
      </c>
      <c r="D473" t="s">
        <v>79</v>
      </c>
      <c r="E473" t="s">
        <v>149</v>
      </c>
      <c r="F473" t="s">
        <v>48</v>
      </c>
      <c r="G473" t="s">
        <v>130</v>
      </c>
      <c r="H473" t="s">
        <v>139</v>
      </c>
      <c r="I473" s="5">
        <v>4095.66</v>
      </c>
      <c r="J473" s="8">
        <v>6</v>
      </c>
      <c r="K473" s="5">
        <v>772.49</v>
      </c>
      <c r="L473" t="s">
        <v>38</v>
      </c>
      <c r="M473">
        <v>2025</v>
      </c>
      <c r="N473">
        <f t="shared" si="7"/>
        <v>5</v>
      </c>
    </row>
    <row r="474" spans="1:14" x14ac:dyDescent="0.25">
      <c r="A474" t="s">
        <v>689</v>
      </c>
      <c r="B474" s="2">
        <v>45797</v>
      </c>
      <c r="C474" t="s">
        <v>35</v>
      </c>
      <c r="D474" t="s">
        <v>125</v>
      </c>
      <c r="E474" t="s">
        <v>126</v>
      </c>
      <c r="F474" t="s">
        <v>26</v>
      </c>
      <c r="G474" t="s">
        <v>27</v>
      </c>
      <c r="H474" t="s">
        <v>101</v>
      </c>
      <c r="I474" s="5">
        <v>952.68</v>
      </c>
      <c r="J474" s="8">
        <v>2</v>
      </c>
      <c r="K474" s="5">
        <v>231.1</v>
      </c>
      <c r="L474" t="s">
        <v>21</v>
      </c>
      <c r="M474">
        <v>2025</v>
      </c>
      <c r="N474">
        <f t="shared" si="7"/>
        <v>5</v>
      </c>
    </row>
    <row r="475" spans="1:14" x14ac:dyDescent="0.25">
      <c r="A475" t="s">
        <v>644</v>
      </c>
      <c r="B475" s="2">
        <v>45799</v>
      </c>
      <c r="C475" t="s">
        <v>124</v>
      </c>
      <c r="D475" t="s">
        <v>79</v>
      </c>
      <c r="E475" t="s">
        <v>149</v>
      </c>
      <c r="F475" t="s">
        <v>18</v>
      </c>
      <c r="G475" t="s">
        <v>54</v>
      </c>
      <c r="H475" t="s">
        <v>108</v>
      </c>
      <c r="I475" s="5">
        <v>744.69</v>
      </c>
      <c r="J475" s="8">
        <v>4</v>
      </c>
      <c r="K475" s="5">
        <v>348.81</v>
      </c>
      <c r="L475" t="s">
        <v>21</v>
      </c>
      <c r="M475">
        <v>2025</v>
      </c>
      <c r="N475">
        <f t="shared" si="7"/>
        <v>5</v>
      </c>
    </row>
    <row r="476" spans="1:14" x14ac:dyDescent="0.25">
      <c r="A476" t="s">
        <v>156</v>
      </c>
      <c r="B476" s="2">
        <v>45804</v>
      </c>
      <c r="C476" t="s">
        <v>65</v>
      </c>
      <c r="D476" t="s">
        <v>41</v>
      </c>
      <c r="E476" t="s">
        <v>58</v>
      </c>
      <c r="F476" t="s">
        <v>26</v>
      </c>
      <c r="G476" t="s">
        <v>98</v>
      </c>
      <c r="H476" t="s">
        <v>99</v>
      </c>
      <c r="I476" s="5">
        <v>640.55999999999995</v>
      </c>
      <c r="J476" s="8">
        <v>2</v>
      </c>
      <c r="K476" s="5">
        <v>224.48</v>
      </c>
      <c r="L476" t="s">
        <v>21</v>
      </c>
      <c r="M476">
        <v>2025</v>
      </c>
      <c r="N476">
        <f t="shared" si="7"/>
        <v>6</v>
      </c>
    </row>
    <row r="477" spans="1:14" x14ac:dyDescent="0.25">
      <c r="A477" t="s">
        <v>330</v>
      </c>
      <c r="B477" s="2">
        <v>45809</v>
      </c>
      <c r="C477" t="s">
        <v>15</v>
      </c>
      <c r="D477" t="s">
        <v>36</v>
      </c>
      <c r="E477" t="s">
        <v>37</v>
      </c>
      <c r="F477" t="s">
        <v>26</v>
      </c>
      <c r="G477" t="s">
        <v>27</v>
      </c>
      <c r="H477" t="s">
        <v>101</v>
      </c>
      <c r="I477" s="5">
        <v>1867.59</v>
      </c>
      <c r="J477" s="8">
        <v>3</v>
      </c>
      <c r="K477" s="5">
        <v>504.03</v>
      </c>
      <c r="L477" t="s">
        <v>38</v>
      </c>
      <c r="M477">
        <v>2025</v>
      </c>
      <c r="N477">
        <f t="shared" si="7"/>
        <v>6</v>
      </c>
    </row>
    <row r="478" spans="1:14" x14ac:dyDescent="0.25">
      <c r="A478" t="s">
        <v>628</v>
      </c>
      <c r="B478" s="2">
        <v>45811</v>
      </c>
      <c r="C478" t="s">
        <v>57</v>
      </c>
      <c r="D478" t="s">
        <v>36</v>
      </c>
      <c r="E478" t="s">
        <v>128</v>
      </c>
      <c r="F478" t="s">
        <v>18</v>
      </c>
      <c r="G478" t="s">
        <v>43</v>
      </c>
      <c r="H478" t="s">
        <v>44</v>
      </c>
      <c r="I478" s="5">
        <v>994.62</v>
      </c>
      <c r="J478" s="8">
        <v>6</v>
      </c>
      <c r="K478" s="5">
        <v>196.86</v>
      </c>
      <c r="L478" t="s">
        <v>29</v>
      </c>
      <c r="M478">
        <v>2025</v>
      </c>
      <c r="N478">
        <f t="shared" si="7"/>
        <v>6</v>
      </c>
    </row>
    <row r="479" spans="1:14" x14ac:dyDescent="0.25">
      <c r="A479" t="s">
        <v>165</v>
      </c>
      <c r="B479" s="2">
        <v>45818</v>
      </c>
      <c r="C479" t="s">
        <v>84</v>
      </c>
      <c r="D479" t="s">
        <v>79</v>
      </c>
      <c r="E479" t="s">
        <v>80</v>
      </c>
      <c r="F479" t="s">
        <v>48</v>
      </c>
      <c r="G479" t="s">
        <v>49</v>
      </c>
      <c r="H479" t="s">
        <v>158</v>
      </c>
      <c r="I479" s="5">
        <v>589.03</v>
      </c>
      <c r="J479" s="8">
        <v>3</v>
      </c>
      <c r="K479" s="5">
        <v>287.29000000000002</v>
      </c>
      <c r="L479" t="s">
        <v>21</v>
      </c>
      <c r="M479">
        <v>2025</v>
      </c>
      <c r="N479">
        <f t="shared" si="7"/>
        <v>6</v>
      </c>
    </row>
    <row r="480" spans="1:14" x14ac:dyDescent="0.25">
      <c r="A480" t="s">
        <v>616</v>
      </c>
      <c r="B480" s="2">
        <v>45821</v>
      </c>
      <c r="C480" t="s">
        <v>35</v>
      </c>
      <c r="D480" t="s">
        <v>16</v>
      </c>
      <c r="E480" t="s">
        <v>71</v>
      </c>
      <c r="F480" t="s">
        <v>26</v>
      </c>
      <c r="G480" t="s">
        <v>27</v>
      </c>
      <c r="H480" t="s">
        <v>28</v>
      </c>
      <c r="I480" s="5">
        <v>2417.4699999999998</v>
      </c>
      <c r="J480" s="8">
        <v>8</v>
      </c>
      <c r="K480" s="5">
        <v>457.77</v>
      </c>
      <c r="L480" t="s">
        <v>21</v>
      </c>
      <c r="M480">
        <v>2025</v>
      </c>
      <c r="N480">
        <f t="shared" si="7"/>
        <v>6</v>
      </c>
    </row>
    <row r="481" spans="1:14" x14ac:dyDescent="0.25">
      <c r="A481" t="s">
        <v>444</v>
      </c>
      <c r="B481" s="2">
        <v>45823</v>
      </c>
      <c r="C481" t="s">
        <v>57</v>
      </c>
      <c r="D481" t="s">
        <v>24</v>
      </c>
      <c r="E481" t="s">
        <v>25</v>
      </c>
      <c r="F481" t="s">
        <v>18</v>
      </c>
      <c r="G481" t="s">
        <v>54</v>
      </c>
      <c r="H481" t="s">
        <v>55</v>
      </c>
      <c r="I481" s="5">
        <v>1449.72</v>
      </c>
      <c r="J481" s="8">
        <v>6</v>
      </c>
      <c r="K481" s="5">
        <v>575.01</v>
      </c>
      <c r="L481" t="s">
        <v>29</v>
      </c>
      <c r="M481">
        <v>2025</v>
      </c>
      <c r="N481">
        <f t="shared" si="7"/>
        <v>6</v>
      </c>
    </row>
    <row r="482" spans="1:14" x14ac:dyDescent="0.25">
      <c r="A482" t="s">
        <v>402</v>
      </c>
      <c r="B482" s="2">
        <v>45824</v>
      </c>
      <c r="C482" t="s">
        <v>46</v>
      </c>
      <c r="D482" t="s">
        <v>36</v>
      </c>
      <c r="E482" t="s">
        <v>37</v>
      </c>
      <c r="F482" t="s">
        <v>26</v>
      </c>
      <c r="G482" t="s">
        <v>89</v>
      </c>
      <c r="H482" t="s">
        <v>90</v>
      </c>
      <c r="I482" s="5">
        <v>645.63</v>
      </c>
      <c r="J482" s="8">
        <v>7</v>
      </c>
      <c r="K482" s="5">
        <v>156.68</v>
      </c>
      <c r="L482" t="s">
        <v>38</v>
      </c>
      <c r="M482">
        <v>2025</v>
      </c>
      <c r="N482">
        <f t="shared" si="7"/>
        <v>6</v>
      </c>
    </row>
    <row r="483" spans="1:14" x14ac:dyDescent="0.25">
      <c r="A483" t="s">
        <v>274</v>
      </c>
      <c r="B483" s="2">
        <v>45827</v>
      </c>
      <c r="C483" t="s">
        <v>62</v>
      </c>
      <c r="D483" t="s">
        <v>52</v>
      </c>
      <c r="E483" t="s">
        <v>53</v>
      </c>
      <c r="F483" t="s">
        <v>48</v>
      </c>
      <c r="G483" t="s">
        <v>151</v>
      </c>
      <c r="H483" t="s">
        <v>174</v>
      </c>
      <c r="I483" s="5">
        <v>806.49</v>
      </c>
      <c r="J483" s="8">
        <v>3</v>
      </c>
      <c r="K483" s="5">
        <v>270.33</v>
      </c>
      <c r="L483" t="s">
        <v>38</v>
      </c>
      <c r="M483">
        <v>2025</v>
      </c>
      <c r="N483">
        <f t="shared" si="7"/>
        <v>6</v>
      </c>
    </row>
    <row r="484" spans="1:14" x14ac:dyDescent="0.25">
      <c r="A484" t="s">
        <v>601</v>
      </c>
      <c r="B484" s="2">
        <v>45830</v>
      </c>
      <c r="C484" t="s">
        <v>57</v>
      </c>
      <c r="D484" t="s">
        <v>36</v>
      </c>
      <c r="E484" t="s">
        <v>47</v>
      </c>
      <c r="F484" t="s">
        <v>26</v>
      </c>
      <c r="G484" t="s">
        <v>81</v>
      </c>
      <c r="H484" t="s">
        <v>82</v>
      </c>
      <c r="I484" s="5">
        <v>2420.5</v>
      </c>
      <c r="J484" s="8">
        <v>6</v>
      </c>
      <c r="K484" s="5">
        <v>964.68</v>
      </c>
      <c r="L484" t="s">
        <v>21</v>
      </c>
      <c r="M484">
        <v>2025</v>
      </c>
      <c r="N484">
        <f t="shared" si="7"/>
        <v>6</v>
      </c>
    </row>
    <row r="485" spans="1:14" x14ac:dyDescent="0.25">
      <c r="A485" t="s">
        <v>290</v>
      </c>
      <c r="B485" s="2">
        <v>45832</v>
      </c>
      <c r="C485" t="s">
        <v>62</v>
      </c>
      <c r="D485" t="s">
        <v>86</v>
      </c>
      <c r="E485" t="s">
        <v>118</v>
      </c>
      <c r="F485" t="s">
        <v>48</v>
      </c>
      <c r="G485" t="s">
        <v>130</v>
      </c>
      <c r="H485" t="s">
        <v>139</v>
      </c>
      <c r="I485" s="5">
        <v>3958.03</v>
      </c>
      <c r="J485" s="8">
        <v>6</v>
      </c>
      <c r="K485" s="5">
        <v>2053.7399999999998</v>
      </c>
      <c r="L485" t="s">
        <v>21</v>
      </c>
      <c r="M485">
        <v>2025</v>
      </c>
      <c r="N485">
        <f t="shared" si="7"/>
        <v>6</v>
      </c>
    </row>
    <row r="486" spans="1:14" x14ac:dyDescent="0.25">
      <c r="A486" t="s">
        <v>507</v>
      </c>
      <c r="B486" s="2">
        <v>45833</v>
      </c>
      <c r="C486" t="s">
        <v>78</v>
      </c>
      <c r="D486" t="s">
        <v>74</v>
      </c>
      <c r="E486" t="s">
        <v>97</v>
      </c>
      <c r="F486" t="s">
        <v>48</v>
      </c>
      <c r="G486" t="s">
        <v>151</v>
      </c>
      <c r="H486" t="s">
        <v>152</v>
      </c>
      <c r="I486" s="5">
        <v>3293</v>
      </c>
      <c r="J486" s="8">
        <v>5</v>
      </c>
      <c r="K486" s="5">
        <v>1251.07</v>
      </c>
      <c r="L486" t="s">
        <v>38</v>
      </c>
      <c r="M486">
        <v>2025</v>
      </c>
      <c r="N486">
        <f t="shared" si="7"/>
        <v>6</v>
      </c>
    </row>
    <row r="487" spans="1:14" x14ac:dyDescent="0.25">
      <c r="A487" t="s">
        <v>525</v>
      </c>
      <c r="B487" s="2">
        <v>45834</v>
      </c>
      <c r="C487" t="s">
        <v>120</v>
      </c>
      <c r="D487" t="s">
        <v>52</v>
      </c>
      <c r="E487" t="s">
        <v>53</v>
      </c>
      <c r="F487" t="s">
        <v>26</v>
      </c>
      <c r="G487" t="s">
        <v>27</v>
      </c>
      <c r="H487" t="s">
        <v>28</v>
      </c>
      <c r="I487" s="5">
        <v>1011.02</v>
      </c>
      <c r="J487" s="8">
        <v>5</v>
      </c>
      <c r="K487" s="5">
        <v>376.11</v>
      </c>
      <c r="L487" t="s">
        <v>21</v>
      </c>
      <c r="M487">
        <v>2025</v>
      </c>
      <c r="N487">
        <f t="shared" si="7"/>
        <v>6</v>
      </c>
    </row>
    <row r="488" spans="1:14" x14ac:dyDescent="0.25">
      <c r="A488" t="s">
        <v>264</v>
      </c>
      <c r="B488" s="2">
        <v>45838</v>
      </c>
      <c r="C488" t="s">
        <v>31</v>
      </c>
      <c r="D488" t="s">
        <v>125</v>
      </c>
      <c r="E488" t="s">
        <v>146</v>
      </c>
      <c r="F488" t="s">
        <v>26</v>
      </c>
      <c r="G488" t="s">
        <v>89</v>
      </c>
      <c r="H488" t="s">
        <v>265</v>
      </c>
      <c r="I488" s="5">
        <v>276.36</v>
      </c>
      <c r="J488" s="8">
        <v>3</v>
      </c>
      <c r="K488" s="5">
        <v>117.58</v>
      </c>
      <c r="L488" t="s">
        <v>21</v>
      </c>
      <c r="M488">
        <v>2025</v>
      </c>
      <c r="N488">
        <f t="shared" si="7"/>
        <v>7</v>
      </c>
    </row>
    <row r="489" spans="1:14" x14ac:dyDescent="0.25">
      <c r="A489" t="s">
        <v>481</v>
      </c>
      <c r="B489" s="2">
        <v>45839</v>
      </c>
      <c r="C489" t="s">
        <v>137</v>
      </c>
      <c r="D489" t="s">
        <v>86</v>
      </c>
      <c r="E489" t="s">
        <v>87</v>
      </c>
      <c r="F489" t="s">
        <v>26</v>
      </c>
      <c r="G489" t="s">
        <v>81</v>
      </c>
      <c r="H489" t="s">
        <v>82</v>
      </c>
      <c r="I489" s="5">
        <v>5769.22</v>
      </c>
      <c r="J489" s="8">
        <v>8</v>
      </c>
      <c r="K489" s="5">
        <v>1508.59</v>
      </c>
      <c r="L489" t="s">
        <v>21</v>
      </c>
      <c r="M489">
        <v>2025</v>
      </c>
      <c r="N489">
        <f t="shared" si="7"/>
        <v>7</v>
      </c>
    </row>
    <row r="490" spans="1:14" x14ac:dyDescent="0.25">
      <c r="A490" t="s">
        <v>557</v>
      </c>
      <c r="B490" s="2">
        <v>45839</v>
      </c>
      <c r="C490" t="s">
        <v>78</v>
      </c>
      <c r="D490" t="s">
        <v>74</v>
      </c>
      <c r="E490" t="s">
        <v>213</v>
      </c>
      <c r="F490" t="s">
        <v>26</v>
      </c>
      <c r="G490" t="s">
        <v>27</v>
      </c>
      <c r="H490" t="s">
        <v>101</v>
      </c>
      <c r="I490" s="5">
        <v>3172.68</v>
      </c>
      <c r="J490" s="8">
        <v>7</v>
      </c>
      <c r="K490" s="5">
        <v>735.28</v>
      </c>
      <c r="L490" t="s">
        <v>29</v>
      </c>
      <c r="M490">
        <v>2025</v>
      </c>
      <c r="N490">
        <f t="shared" si="7"/>
        <v>7</v>
      </c>
    </row>
    <row r="491" spans="1:14" x14ac:dyDescent="0.25">
      <c r="A491" t="s">
        <v>583</v>
      </c>
      <c r="B491" s="2">
        <v>45840</v>
      </c>
      <c r="C491" t="s">
        <v>46</v>
      </c>
      <c r="D491" t="s">
        <v>66</v>
      </c>
      <c r="E491" t="s">
        <v>67</v>
      </c>
      <c r="F491" t="s">
        <v>26</v>
      </c>
      <c r="G491" t="s">
        <v>98</v>
      </c>
      <c r="H491" t="s">
        <v>176</v>
      </c>
      <c r="I491" s="5">
        <v>2415.7199999999998</v>
      </c>
      <c r="J491" s="8">
        <v>5</v>
      </c>
      <c r="K491" s="5">
        <v>654.98</v>
      </c>
      <c r="L491" t="s">
        <v>21</v>
      </c>
      <c r="M491">
        <v>2025</v>
      </c>
      <c r="N491">
        <f t="shared" si="7"/>
        <v>7</v>
      </c>
    </row>
    <row r="492" spans="1:14" x14ac:dyDescent="0.25">
      <c r="A492" t="s">
        <v>630</v>
      </c>
      <c r="B492" s="2">
        <v>45840</v>
      </c>
      <c r="C492" t="s">
        <v>40</v>
      </c>
      <c r="D492" t="s">
        <v>24</v>
      </c>
      <c r="E492" t="s">
        <v>25</v>
      </c>
      <c r="F492" t="s">
        <v>26</v>
      </c>
      <c r="G492" t="s">
        <v>98</v>
      </c>
      <c r="H492" t="s">
        <v>99</v>
      </c>
      <c r="I492" s="5">
        <v>1334.86</v>
      </c>
      <c r="J492" s="8">
        <v>2</v>
      </c>
      <c r="K492" s="5">
        <v>431.44</v>
      </c>
      <c r="L492" t="s">
        <v>21</v>
      </c>
      <c r="M492">
        <v>2025</v>
      </c>
      <c r="N492">
        <f t="shared" si="7"/>
        <v>7</v>
      </c>
    </row>
    <row r="493" spans="1:14" x14ac:dyDescent="0.25">
      <c r="A493" t="s">
        <v>401</v>
      </c>
      <c r="B493" s="2">
        <v>45841</v>
      </c>
      <c r="C493" t="s">
        <v>57</v>
      </c>
      <c r="D493" t="s">
        <v>125</v>
      </c>
      <c r="E493" t="s">
        <v>126</v>
      </c>
      <c r="F493" t="s">
        <v>48</v>
      </c>
      <c r="G493" t="s">
        <v>59</v>
      </c>
      <c r="H493" t="s">
        <v>142</v>
      </c>
      <c r="I493" s="5">
        <v>2034.99</v>
      </c>
      <c r="J493" s="8">
        <v>6</v>
      </c>
      <c r="K493" s="5">
        <v>521.19000000000005</v>
      </c>
      <c r="L493" t="s">
        <v>21</v>
      </c>
      <c r="M493">
        <v>2025</v>
      </c>
      <c r="N493">
        <f t="shared" si="7"/>
        <v>7</v>
      </c>
    </row>
    <row r="494" spans="1:14" x14ac:dyDescent="0.25">
      <c r="A494" t="s">
        <v>259</v>
      </c>
      <c r="B494" s="2">
        <v>45842</v>
      </c>
      <c r="C494" t="s">
        <v>111</v>
      </c>
      <c r="D494" t="s">
        <v>41</v>
      </c>
      <c r="E494" t="s">
        <v>58</v>
      </c>
      <c r="F494" t="s">
        <v>48</v>
      </c>
      <c r="G494" t="s">
        <v>59</v>
      </c>
      <c r="H494" t="s">
        <v>60</v>
      </c>
      <c r="I494" s="5">
        <v>3681.57</v>
      </c>
      <c r="J494" s="8">
        <v>6</v>
      </c>
      <c r="K494" s="5">
        <v>1148.5899999999999</v>
      </c>
      <c r="L494" t="s">
        <v>21</v>
      </c>
      <c r="M494">
        <v>2025</v>
      </c>
      <c r="N494">
        <f t="shared" si="7"/>
        <v>7</v>
      </c>
    </row>
    <row r="495" spans="1:14" x14ac:dyDescent="0.25">
      <c r="A495" t="s">
        <v>244</v>
      </c>
      <c r="B495" s="2">
        <v>45846</v>
      </c>
      <c r="C495" t="s">
        <v>15</v>
      </c>
      <c r="D495" t="s">
        <v>36</v>
      </c>
      <c r="E495" t="s">
        <v>128</v>
      </c>
      <c r="F495" t="s">
        <v>18</v>
      </c>
      <c r="G495" t="s">
        <v>54</v>
      </c>
      <c r="H495" t="s">
        <v>55</v>
      </c>
      <c r="I495" s="5">
        <v>974.92</v>
      </c>
      <c r="J495" s="8">
        <v>5</v>
      </c>
      <c r="K495" s="5">
        <v>502.34</v>
      </c>
      <c r="L495" t="s">
        <v>21</v>
      </c>
      <c r="M495">
        <v>2025</v>
      </c>
      <c r="N495">
        <f t="shared" si="7"/>
        <v>7</v>
      </c>
    </row>
    <row r="496" spans="1:14" x14ac:dyDescent="0.25">
      <c r="A496" t="s">
        <v>542</v>
      </c>
      <c r="B496" s="2">
        <v>45847</v>
      </c>
      <c r="C496" t="s">
        <v>57</v>
      </c>
      <c r="D496" t="s">
        <v>86</v>
      </c>
      <c r="E496" t="s">
        <v>116</v>
      </c>
      <c r="F496" t="s">
        <v>18</v>
      </c>
      <c r="G496" t="s">
        <v>54</v>
      </c>
      <c r="H496" t="s">
        <v>108</v>
      </c>
      <c r="I496" s="5">
        <v>113.58</v>
      </c>
      <c r="J496" s="8">
        <v>3</v>
      </c>
      <c r="K496" s="5">
        <v>46.32</v>
      </c>
      <c r="L496" t="s">
        <v>21</v>
      </c>
      <c r="M496">
        <v>2025</v>
      </c>
      <c r="N496">
        <f t="shared" si="7"/>
        <v>7</v>
      </c>
    </row>
    <row r="497" spans="1:14" x14ac:dyDescent="0.25">
      <c r="A497" t="s">
        <v>563</v>
      </c>
      <c r="B497" s="2">
        <v>45848</v>
      </c>
      <c r="C497" t="s">
        <v>160</v>
      </c>
      <c r="D497" t="s">
        <v>86</v>
      </c>
      <c r="E497" t="s">
        <v>118</v>
      </c>
      <c r="F497" t="s">
        <v>48</v>
      </c>
      <c r="G497" t="s">
        <v>130</v>
      </c>
      <c r="H497" t="s">
        <v>139</v>
      </c>
      <c r="I497" s="5">
        <v>3250.46</v>
      </c>
      <c r="J497" s="8">
        <v>5</v>
      </c>
      <c r="K497" s="5">
        <v>1147.21</v>
      </c>
      <c r="L497" t="s">
        <v>38</v>
      </c>
      <c r="M497">
        <v>2025</v>
      </c>
      <c r="N497">
        <f t="shared" si="7"/>
        <v>7</v>
      </c>
    </row>
    <row r="498" spans="1:14" x14ac:dyDescent="0.25">
      <c r="A498" t="s">
        <v>177</v>
      </c>
      <c r="B498" s="2">
        <v>45849</v>
      </c>
      <c r="C498" t="s">
        <v>137</v>
      </c>
      <c r="D498" t="s">
        <v>16</v>
      </c>
      <c r="E498" t="s">
        <v>71</v>
      </c>
      <c r="F498" t="s">
        <v>48</v>
      </c>
      <c r="G498" t="s">
        <v>68</v>
      </c>
      <c r="H498" t="s">
        <v>69</v>
      </c>
      <c r="I498" s="5">
        <v>4549.13</v>
      </c>
      <c r="J498" s="8">
        <v>7</v>
      </c>
      <c r="K498" s="5">
        <v>1437.74</v>
      </c>
      <c r="L498" t="s">
        <v>38</v>
      </c>
      <c r="M498">
        <v>2025</v>
      </c>
      <c r="N498">
        <f t="shared" si="7"/>
        <v>7</v>
      </c>
    </row>
    <row r="499" spans="1:14" x14ac:dyDescent="0.25">
      <c r="A499" t="s">
        <v>403</v>
      </c>
      <c r="B499" s="2">
        <v>45851</v>
      </c>
      <c r="C499" t="s">
        <v>198</v>
      </c>
      <c r="D499" t="s">
        <v>74</v>
      </c>
      <c r="E499" t="s">
        <v>97</v>
      </c>
      <c r="F499" t="s">
        <v>26</v>
      </c>
      <c r="G499" t="s">
        <v>98</v>
      </c>
      <c r="H499" t="s">
        <v>99</v>
      </c>
      <c r="I499" s="5">
        <v>2200.94</v>
      </c>
      <c r="J499" s="8">
        <v>3</v>
      </c>
      <c r="K499" s="5">
        <v>450.78</v>
      </c>
      <c r="L499" t="s">
        <v>21</v>
      </c>
      <c r="M499">
        <v>2025</v>
      </c>
      <c r="N499">
        <f t="shared" si="7"/>
        <v>7</v>
      </c>
    </row>
    <row r="500" spans="1:14" x14ac:dyDescent="0.25">
      <c r="A500" t="s">
        <v>385</v>
      </c>
      <c r="B500" s="2">
        <v>45852</v>
      </c>
      <c r="C500" t="s">
        <v>65</v>
      </c>
      <c r="D500" t="s">
        <v>79</v>
      </c>
      <c r="E500" t="s">
        <v>138</v>
      </c>
      <c r="F500" t="s">
        <v>48</v>
      </c>
      <c r="G500" t="s">
        <v>151</v>
      </c>
      <c r="H500" t="s">
        <v>152</v>
      </c>
      <c r="I500" s="5">
        <v>2558.25</v>
      </c>
      <c r="J500" s="8">
        <v>4</v>
      </c>
      <c r="K500" s="5">
        <v>1358.16</v>
      </c>
      <c r="L500" t="s">
        <v>21</v>
      </c>
      <c r="M500">
        <v>2025</v>
      </c>
      <c r="N500">
        <f t="shared" si="7"/>
        <v>7</v>
      </c>
    </row>
    <row r="501" spans="1:14" x14ac:dyDescent="0.25">
      <c r="A501" t="s">
        <v>371</v>
      </c>
      <c r="B501" s="2">
        <v>45855</v>
      </c>
      <c r="C501" t="s">
        <v>133</v>
      </c>
      <c r="D501" t="s">
        <v>125</v>
      </c>
      <c r="E501" t="s">
        <v>146</v>
      </c>
      <c r="F501" t="s">
        <v>26</v>
      </c>
      <c r="G501" t="s">
        <v>89</v>
      </c>
      <c r="H501" t="s">
        <v>265</v>
      </c>
      <c r="I501" s="5">
        <v>1264.75</v>
      </c>
      <c r="J501" s="8">
        <v>2</v>
      </c>
      <c r="K501" s="5">
        <v>686.22</v>
      </c>
      <c r="L501" t="s">
        <v>29</v>
      </c>
      <c r="M501">
        <v>2025</v>
      </c>
      <c r="N501">
        <f t="shared" si="7"/>
        <v>7</v>
      </c>
    </row>
    <row r="502" spans="1:14" x14ac:dyDescent="0.25">
      <c r="A502" t="s">
        <v>643</v>
      </c>
      <c r="B502" s="2">
        <v>45861</v>
      </c>
      <c r="C502" t="s">
        <v>46</v>
      </c>
      <c r="D502" t="s">
        <v>24</v>
      </c>
      <c r="E502" t="s">
        <v>25</v>
      </c>
      <c r="F502" t="s">
        <v>18</v>
      </c>
      <c r="G502" t="s">
        <v>43</v>
      </c>
      <c r="H502" t="s">
        <v>76</v>
      </c>
      <c r="I502" s="5">
        <v>986.12</v>
      </c>
      <c r="J502" s="8">
        <v>2</v>
      </c>
      <c r="K502" s="5">
        <v>305.08999999999997</v>
      </c>
      <c r="L502" t="s">
        <v>29</v>
      </c>
      <c r="M502">
        <v>2025</v>
      </c>
      <c r="N502">
        <f t="shared" si="7"/>
        <v>7</v>
      </c>
    </row>
    <row r="503" spans="1:14" x14ac:dyDescent="0.25">
      <c r="A503" t="s">
        <v>109</v>
      </c>
      <c r="B503" s="2">
        <v>45863</v>
      </c>
      <c r="C503" t="s">
        <v>35</v>
      </c>
      <c r="D503" t="s">
        <v>36</v>
      </c>
      <c r="E503" t="s">
        <v>47</v>
      </c>
      <c r="F503" t="s">
        <v>48</v>
      </c>
      <c r="G503" t="s">
        <v>94</v>
      </c>
      <c r="H503" t="s">
        <v>95</v>
      </c>
      <c r="I503" s="5">
        <v>3882.03</v>
      </c>
      <c r="J503" s="8">
        <v>5</v>
      </c>
      <c r="K503" s="5">
        <v>1576.84</v>
      </c>
      <c r="L503" t="s">
        <v>21</v>
      </c>
      <c r="M503">
        <v>2025</v>
      </c>
      <c r="N503">
        <f t="shared" si="7"/>
        <v>7</v>
      </c>
    </row>
    <row r="504" spans="1:14" x14ac:dyDescent="0.25">
      <c r="A504" t="s">
        <v>347</v>
      </c>
      <c r="B504" s="2">
        <v>45864</v>
      </c>
      <c r="C504" t="s">
        <v>46</v>
      </c>
      <c r="D504" t="s">
        <v>41</v>
      </c>
      <c r="E504" t="s">
        <v>63</v>
      </c>
      <c r="F504" t="s">
        <v>18</v>
      </c>
      <c r="G504" t="s">
        <v>43</v>
      </c>
      <c r="H504" t="s">
        <v>76</v>
      </c>
      <c r="I504" s="5">
        <v>5179.3999999999996</v>
      </c>
      <c r="J504" s="8">
        <v>6</v>
      </c>
      <c r="K504" s="5">
        <v>1375.13</v>
      </c>
      <c r="L504" t="s">
        <v>29</v>
      </c>
      <c r="M504">
        <v>2025</v>
      </c>
      <c r="N504">
        <f t="shared" si="7"/>
        <v>7</v>
      </c>
    </row>
    <row r="505" spans="1:14" x14ac:dyDescent="0.25">
      <c r="A505" t="s">
        <v>665</v>
      </c>
      <c r="B505" s="2">
        <v>45864</v>
      </c>
      <c r="C505" t="s">
        <v>35</v>
      </c>
      <c r="D505" t="s">
        <v>79</v>
      </c>
      <c r="E505" t="s">
        <v>149</v>
      </c>
      <c r="F505" t="s">
        <v>48</v>
      </c>
      <c r="G505" t="s">
        <v>130</v>
      </c>
      <c r="H505" t="s">
        <v>139</v>
      </c>
      <c r="I505" s="5">
        <v>1654.79</v>
      </c>
      <c r="J505" s="8">
        <v>4</v>
      </c>
      <c r="K505" s="5">
        <v>369.06</v>
      </c>
      <c r="L505" t="s">
        <v>21</v>
      </c>
      <c r="M505">
        <v>2025</v>
      </c>
      <c r="N505">
        <f t="shared" si="7"/>
        <v>7</v>
      </c>
    </row>
    <row r="506" spans="1:14" x14ac:dyDescent="0.25">
      <c r="A506" t="s">
        <v>56</v>
      </c>
      <c r="B506" s="2">
        <v>45866</v>
      </c>
      <c r="C506" t="s">
        <v>57</v>
      </c>
      <c r="D506" t="s">
        <v>41</v>
      </c>
      <c r="E506" t="s">
        <v>58</v>
      </c>
      <c r="F506" t="s">
        <v>48</v>
      </c>
      <c r="G506" t="s">
        <v>59</v>
      </c>
      <c r="H506" t="s">
        <v>60</v>
      </c>
      <c r="I506" s="5">
        <v>197.64</v>
      </c>
      <c r="J506" s="8">
        <v>7</v>
      </c>
      <c r="K506" s="5">
        <v>63.96</v>
      </c>
      <c r="L506" t="s">
        <v>21</v>
      </c>
      <c r="M506">
        <v>2025</v>
      </c>
      <c r="N506">
        <f t="shared" si="7"/>
        <v>7</v>
      </c>
    </row>
    <row r="507" spans="1:14" x14ac:dyDescent="0.25">
      <c r="A507" t="s">
        <v>549</v>
      </c>
      <c r="B507" s="2">
        <v>45866</v>
      </c>
      <c r="C507" t="s">
        <v>114</v>
      </c>
      <c r="D507" t="s">
        <v>41</v>
      </c>
      <c r="E507" t="s">
        <v>58</v>
      </c>
      <c r="F507" t="s">
        <v>26</v>
      </c>
      <c r="G507" t="s">
        <v>98</v>
      </c>
      <c r="H507" t="s">
        <v>99</v>
      </c>
      <c r="I507" s="5">
        <v>3794.26</v>
      </c>
      <c r="J507" s="8">
        <v>6</v>
      </c>
      <c r="K507" s="5">
        <v>1763.01</v>
      </c>
      <c r="L507" t="s">
        <v>38</v>
      </c>
      <c r="M507">
        <v>2025</v>
      </c>
      <c r="N507">
        <f t="shared" si="7"/>
        <v>7</v>
      </c>
    </row>
    <row r="508" spans="1:14" x14ac:dyDescent="0.25">
      <c r="A508" t="s">
        <v>599</v>
      </c>
      <c r="B508" s="2">
        <v>45867</v>
      </c>
      <c r="C508" t="s">
        <v>84</v>
      </c>
      <c r="D508" t="s">
        <v>74</v>
      </c>
      <c r="E508" t="s">
        <v>213</v>
      </c>
      <c r="F508" t="s">
        <v>26</v>
      </c>
      <c r="G508" t="s">
        <v>27</v>
      </c>
      <c r="H508" t="s">
        <v>28</v>
      </c>
      <c r="I508" s="5">
        <v>522.64</v>
      </c>
      <c r="J508" s="8">
        <v>1</v>
      </c>
      <c r="K508" s="5">
        <v>206.29</v>
      </c>
      <c r="L508" t="s">
        <v>38</v>
      </c>
      <c r="M508">
        <v>2025</v>
      </c>
      <c r="N508">
        <f t="shared" si="7"/>
        <v>7</v>
      </c>
    </row>
    <row r="509" spans="1:14" x14ac:dyDescent="0.25">
      <c r="A509" t="s">
        <v>200</v>
      </c>
      <c r="B509" s="2">
        <v>45868</v>
      </c>
      <c r="C509" t="s">
        <v>160</v>
      </c>
      <c r="D509" t="s">
        <v>79</v>
      </c>
      <c r="E509" t="s">
        <v>149</v>
      </c>
      <c r="F509" t="s">
        <v>26</v>
      </c>
      <c r="G509" t="s">
        <v>27</v>
      </c>
      <c r="H509" t="s">
        <v>162</v>
      </c>
      <c r="I509" s="5">
        <v>1829.28</v>
      </c>
      <c r="J509" s="8">
        <v>5</v>
      </c>
      <c r="K509" s="5">
        <v>854.31</v>
      </c>
      <c r="L509" t="s">
        <v>21</v>
      </c>
      <c r="M509">
        <v>2025</v>
      </c>
      <c r="N509">
        <f t="shared" si="7"/>
        <v>7</v>
      </c>
    </row>
    <row r="510" spans="1:14" x14ac:dyDescent="0.25">
      <c r="A510" t="s">
        <v>553</v>
      </c>
      <c r="B510" s="2">
        <v>45869</v>
      </c>
      <c r="C510" t="s">
        <v>120</v>
      </c>
      <c r="D510" t="s">
        <v>74</v>
      </c>
      <c r="E510" t="s">
        <v>213</v>
      </c>
      <c r="F510" t="s">
        <v>18</v>
      </c>
      <c r="G510" t="s">
        <v>54</v>
      </c>
      <c r="H510" t="s">
        <v>108</v>
      </c>
      <c r="I510" s="5">
        <v>864.3</v>
      </c>
      <c r="J510" s="8">
        <v>1</v>
      </c>
      <c r="K510" s="5">
        <v>307.45999999999998</v>
      </c>
      <c r="L510" t="s">
        <v>21</v>
      </c>
      <c r="M510">
        <v>2025</v>
      </c>
      <c r="N510">
        <f t="shared" si="7"/>
        <v>8</v>
      </c>
    </row>
    <row r="511" spans="1:14" x14ac:dyDescent="0.25">
      <c r="A511" t="s">
        <v>96</v>
      </c>
      <c r="B511" s="2">
        <v>45874</v>
      </c>
      <c r="C511" t="s">
        <v>35</v>
      </c>
      <c r="D511" t="s">
        <v>74</v>
      </c>
      <c r="E511" t="s">
        <v>97</v>
      </c>
      <c r="F511" t="s">
        <v>26</v>
      </c>
      <c r="G511" t="s">
        <v>98</v>
      </c>
      <c r="H511" t="s">
        <v>99</v>
      </c>
      <c r="I511" s="5">
        <v>1206.52</v>
      </c>
      <c r="J511" s="8">
        <v>5</v>
      </c>
      <c r="K511" s="5">
        <v>570.76</v>
      </c>
      <c r="L511" t="s">
        <v>21</v>
      </c>
      <c r="M511">
        <v>2025</v>
      </c>
      <c r="N511">
        <f t="shared" si="7"/>
        <v>8</v>
      </c>
    </row>
    <row r="512" spans="1:14" x14ac:dyDescent="0.25">
      <c r="A512" t="s">
        <v>714</v>
      </c>
      <c r="B512" s="2">
        <v>45874</v>
      </c>
      <c r="C512" t="s">
        <v>40</v>
      </c>
      <c r="D512" t="s">
        <v>41</v>
      </c>
      <c r="E512" t="s">
        <v>58</v>
      </c>
      <c r="F512" t="s">
        <v>18</v>
      </c>
      <c r="G512" t="s">
        <v>43</v>
      </c>
      <c r="H512" t="s">
        <v>44</v>
      </c>
      <c r="I512" s="5">
        <v>4461.33</v>
      </c>
      <c r="J512" s="8">
        <v>6</v>
      </c>
      <c r="K512" s="5">
        <v>2441.25</v>
      </c>
      <c r="L512" t="s">
        <v>21</v>
      </c>
      <c r="M512">
        <v>2025</v>
      </c>
      <c r="N512">
        <f t="shared" si="7"/>
        <v>8</v>
      </c>
    </row>
    <row r="513" spans="1:14" x14ac:dyDescent="0.25">
      <c r="A513" t="s">
        <v>234</v>
      </c>
      <c r="B513" s="2">
        <v>45877</v>
      </c>
      <c r="C513" t="s">
        <v>78</v>
      </c>
      <c r="D513" t="s">
        <v>66</v>
      </c>
      <c r="E513" t="s">
        <v>67</v>
      </c>
      <c r="F513" t="s">
        <v>26</v>
      </c>
      <c r="G513" t="s">
        <v>89</v>
      </c>
      <c r="H513" t="s">
        <v>90</v>
      </c>
      <c r="I513" s="5">
        <v>3494.72</v>
      </c>
      <c r="J513" s="8">
        <v>8</v>
      </c>
      <c r="K513" s="5">
        <v>1246.81</v>
      </c>
      <c r="L513" t="s">
        <v>29</v>
      </c>
      <c r="M513">
        <v>2025</v>
      </c>
      <c r="N513">
        <f t="shared" si="7"/>
        <v>8</v>
      </c>
    </row>
    <row r="514" spans="1:14" x14ac:dyDescent="0.25">
      <c r="A514" t="s">
        <v>420</v>
      </c>
      <c r="B514" s="2">
        <v>45877</v>
      </c>
      <c r="C514" t="s">
        <v>124</v>
      </c>
      <c r="D514" t="s">
        <v>24</v>
      </c>
      <c r="E514" t="s">
        <v>103</v>
      </c>
      <c r="F514" t="s">
        <v>18</v>
      </c>
      <c r="G514" t="s">
        <v>54</v>
      </c>
      <c r="H514" t="s">
        <v>55</v>
      </c>
      <c r="I514" s="5">
        <v>1538.36</v>
      </c>
      <c r="J514" s="8">
        <v>6</v>
      </c>
      <c r="K514" s="5">
        <v>402.94</v>
      </c>
      <c r="L514" t="s">
        <v>29</v>
      </c>
      <c r="M514">
        <v>2025</v>
      </c>
      <c r="N514">
        <f t="shared" ref="N514:N577" si="8">MONTH(B515)</f>
        <v>8</v>
      </c>
    </row>
    <row r="515" spans="1:14" x14ac:dyDescent="0.25">
      <c r="A515" t="s">
        <v>626</v>
      </c>
      <c r="B515" s="2">
        <v>45877</v>
      </c>
      <c r="C515" t="s">
        <v>62</v>
      </c>
      <c r="D515" t="s">
        <v>24</v>
      </c>
      <c r="E515" t="s">
        <v>377</v>
      </c>
      <c r="F515" t="s">
        <v>48</v>
      </c>
      <c r="G515" t="s">
        <v>151</v>
      </c>
      <c r="H515" t="s">
        <v>174</v>
      </c>
      <c r="I515" s="5">
        <v>299.3</v>
      </c>
      <c r="J515" s="8">
        <v>3</v>
      </c>
      <c r="K515" s="5">
        <v>142.37</v>
      </c>
      <c r="L515" t="s">
        <v>38</v>
      </c>
      <c r="M515">
        <v>2025</v>
      </c>
      <c r="N515">
        <f t="shared" si="8"/>
        <v>8</v>
      </c>
    </row>
    <row r="516" spans="1:14" x14ac:dyDescent="0.25">
      <c r="A516" t="s">
        <v>649</v>
      </c>
      <c r="B516" s="2">
        <v>45877</v>
      </c>
      <c r="C516" t="s">
        <v>57</v>
      </c>
      <c r="D516" t="s">
        <v>125</v>
      </c>
      <c r="E516" t="s">
        <v>146</v>
      </c>
      <c r="F516" t="s">
        <v>18</v>
      </c>
      <c r="G516" t="s">
        <v>43</v>
      </c>
      <c r="H516" t="s">
        <v>76</v>
      </c>
      <c r="I516" s="5">
        <v>183.12</v>
      </c>
      <c r="J516" s="8">
        <v>4</v>
      </c>
      <c r="K516" s="5">
        <v>65.89</v>
      </c>
      <c r="L516" t="s">
        <v>21</v>
      </c>
      <c r="M516">
        <v>2025</v>
      </c>
      <c r="N516">
        <f t="shared" si="8"/>
        <v>8</v>
      </c>
    </row>
    <row r="517" spans="1:14" x14ac:dyDescent="0.25">
      <c r="A517" t="s">
        <v>660</v>
      </c>
      <c r="B517" s="2">
        <v>45877</v>
      </c>
      <c r="C517" t="s">
        <v>35</v>
      </c>
      <c r="D517" t="s">
        <v>79</v>
      </c>
      <c r="E517" t="s">
        <v>138</v>
      </c>
      <c r="F517" t="s">
        <v>26</v>
      </c>
      <c r="G517" t="s">
        <v>98</v>
      </c>
      <c r="H517" t="s">
        <v>99</v>
      </c>
      <c r="I517" s="5">
        <v>2549.38</v>
      </c>
      <c r="J517" s="8">
        <v>6</v>
      </c>
      <c r="K517" s="5">
        <v>1063.3</v>
      </c>
      <c r="L517" t="s">
        <v>21</v>
      </c>
      <c r="M517">
        <v>2025</v>
      </c>
      <c r="N517">
        <f t="shared" si="8"/>
        <v>8</v>
      </c>
    </row>
    <row r="518" spans="1:14" x14ac:dyDescent="0.25">
      <c r="A518" t="s">
        <v>565</v>
      </c>
      <c r="B518" s="2">
        <v>45879</v>
      </c>
      <c r="C518" t="s">
        <v>35</v>
      </c>
      <c r="D518" t="s">
        <v>66</v>
      </c>
      <c r="E518" t="s">
        <v>180</v>
      </c>
      <c r="F518" t="s">
        <v>48</v>
      </c>
      <c r="G518" t="s">
        <v>59</v>
      </c>
      <c r="H518" t="s">
        <v>60</v>
      </c>
      <c r="I518" s="5">
        <v>923.13</v>
      </c>
      <c r="J518" s="8">
        <v>1</v>
      </c>
      <c r="K518" s="5">
        <v>338.6</v>
      </c>
      <c r="L518" t="s">
        <v>21</v>
      </c>
      <c r="M518">
        <v>2025</v>
      </c>
      <c r="N518">
        <f t="shared" si="8"/>
        <v>8</v>
      </c>
    </row>
    <row r="519" spans="1:14" x14ac:dyDescent="0.25">
      <c r="A519" t="s">
        <v>315</v>
      </c>
      <c r="B519" s="2">
        <v>45881</v>
      </c>
      <c r="C519" t="s">
        <v>111</v>
      </c>
      <c r="D519" t="s">
        <v>52</v>
      </c>
      <c r="E519" t="s">
        <v>107</v>
      </c>
      <c r="F519" t="s">
        <v>18</v>
      </c>
      <c r="G519" t="s">
        <v>19</v>
      </c>
      <c r="H519" t="s">
        <v>72</v>
      </c>
      <c r="I519" s="5">
        <v>1538.13</v>
      </c>
      <c r="J519" s="8">
        <v>7</v>
      </c>
      <c r="K519" s="5">
        <v>291.44</v>
      </c>
      <c r="L519" t="s">
        <v>29</v>
      </c>
      <c r="M519">
        <v>2025</v>
      </c>
      <c r="N519">
        <f t="shared" si="8"/>
        <v>8</v>
      </c>
    </row>
    <row r="520" spans="1:14" x14ac:dyDescent="0.25">
      <c r="A520" t="s">
        <v>465</v>
      </c>
      <c r="B520" s="2">
        <v>45882</v>
      </c>
      <c r="C520" t="s">
        <v>198</v>
      </c>
      <c r="D520" t="s">
        <v>66</v>
      </c>
      <c r="E520" t="s">
        <v>180</v>
      </c>
      <c r="F520" t="s">
        <v>18</v>
      </c>
      <c r="G520" t="s">
        <v>19</v>
      </c>
      <c r="H520" t="s">
        <v>20</v>
      </c>
      <c r="I520" s="5">
        <v>3480.5</v>
      </c>
      <c r="J520" s="8">
        <v>6</v>
      </c>
      <c r="K520" s="5">
        <v>1388.88</v>
      </c>
      <c r="L520" t="s">
        <v>21</v>
      </c>
      <c r="M520">
        <v>2025</v>
      </c>
      <c r="N520">
        <f t="shared" si="8"/>
        <v>8</v>
      </c>
    </row>
    <row r="521" spans="1:14" x14ac:dyDescent="0.25">
      <c r="A521" t="s">
        <v>173</v>
      </c>
      <c r="B521" s="2">
        <v>45888</v>
      </c>
      <c r="C521" t="s">
        <v>65</v>
      </c>
      <c r="D521" t="s">
        <v>66</v>
      </c>
      <c r="E521" t="s">
        <v>67</v>
      </c>
      <c r="F521" t="s">
        <v>48</v>
      </c>
      <c r="G521" t="s">
        <v>151</v>
      </c>
      <c r="H521" t="s">
        <v>174</v>
      </c>
      <c r="I521" s="5">
        <v>3511.8</v>
      </c>
      <c r="J521" s="8">
        <v>5</v>
      </c>
      <c r="K521" s="5">
        <v>1058.1400000000001</v>
      </c>
      <c r="L521" t="s">
        <v>38</v>
      </c>
      <c r="M521">
        <v>2025</v>
      </c>
      <c r="N521">
        <f t="shared" si="8"/>
        <v>8</v>
      </c>
    </row>
    <row r="522" spans="1:14" x14ac:dyDescent="0.25">
      <c r="A522" t="s">
        <v>486</v>
      </c>
      <c r="B522" s="2">
        <v>45888</v>
      </c>
      <c r="C522" t="s">
        <v>198</v>
      </c>
      <c r="D522" t="s">
        <v>125</v>
      </c>
      <c r="E522" t="s">
        <v>146</v>
      </c>
      <c r="F522" t="s">
        <v>18</v>
      </c>
      <c r="G522" t="s">
        <v>54</v>
      </c>
      <c r="H522" t="s">
        <v>55</v>
      </c>
      <c r="I522" s="5">
        <v>3447.58</v>
      </c>
      <c r="J522" s="8">
        <v>7</v>
      </c>
      <c r="K522" s="5">
        <v>640.46</v>
      </c>
      <c r="L522" t="s">
        <v>38</v>
      </c>
      <c r="M522">
        <v>2025</v>
      </c>
      <c r="N522">
        <f t="shared" si="8"/>
        <v>8</v>
      </c>
    </row>
    <row r="523" spans="1:14" x14ac:dyDescent="0.25">
      <c r="A523" t="s">
        <v>708</v>
      </c>
      <c r="B523" s="2">
        <v>45888</v>
      </c>
      <c r="C523" t="s">
        <v>160</v>
      </c>
      <c r="D523" t="s">
        <v>52</v>
      </c>
      <c r="E523" t="s">
        <v>144</v>
      </c>
      <c r="F523" t="s">
        <v>18</v>
      </c>
      <c r="G523" t="s">
        <v>32</v>
      </c>
      <c r="H523" t="s">
        <v>33</v>
      </c>
      <c r="I523" s="5">
        <v>358.44</v>
      </c>
      <c r="J523" s="8">
        <v>1</v>
      </c>
      <c r="K523" s="5">
        <v>70.95</v>
      </c>
      <c r="L523" t="s">
        <v>29</v>
      </c>
      <c r="M523">
        <v>2025</v>
      </c>
      <c r="N523">
        <f t="shared" si="8"/>
        <v>8</v>
      </c>
    </row>
    <row r="524" spans="1:14" x14ac:dyDescent="0.25">
      <c r="A524" t="s">
        <v>430</v>
      </c>
      <c r="B524" s="2">
        <v>45890</v>
      </c>
      <c r="C524" t="s">
        <v>78</v>
      </c>
      <c r="D524" t="s">
        <v>36</v>
      </c>
      <c r="E524" t="s">
        <v>37</v>
      </c>
      <c r="F524" t="s">
        <v>18</v>
      </c>
      <c r="G524" t="s">
        <v>19</v>
      </c>
      <c r="H524" t="s">
        <v>72</v>
      </c>
      <c r="I524" s="5">
        <v>333.24</v>
      </c>
      <c r="J524" s="8">
        <v>2</v>
      </c>
      <c r="K524" s="5">
        <v>126.32</v>
      </c>
      <c r="L524" t="s">
        <v>21</v>
      </c>
      <c r="M524">
        <v>2025</v>
      </c>
      <c r="N524">
        <f t="shared" si="8"/>
        <v>8</v>
      </c>
    </row>
    <row r="525" spans="1:14" x14ac:dyDescent="0.25">
      <c r="A525" t="s">
        <v>681</v>
      </c>
      <c r="B525" s="2">
        <v>45894</v>
      </c>
      <c r="C525" t="s">
        <v>137</v>
      </c>
      <c r="D525" t="s">
        <v>125</v>
      </c>
      <c r="E525" t="s">
        <v>146</v>
      </c>
      <c r="F525" t="s">
        <v>26</v>
      </c>
      <c r="G525" t="s">
        <v>27</v>
      </c>
      <c r="H525" t="s">
        <v>162</v>
      </c>
      <c r="I525" s="5">
        <v>2079.2600000000002</v>
      </c>
      <c r="J525" s="8">
        <v>5</v>
      </c>
      <c r="K525" s="5">
        <v>742.21</v>
      </c>
      <c r="L525" t="s">
        <v>21</v>
      </c>
      <c r="M525">
        <v>2025</v>
      </c>
      <c r="N525">
        <f t="shared" si="8"/>
        <v>8</v>
      </c>
    </row>
    <row r="526" spans="1:14" x14ac:dyDescent="0.25">
      <c r="A526" t="s">
        <v>91</v>
      </c>
      <c r="B526" s="2">
        <v>45895</v>
      </c>
      <c r="C526" t="s">
        <v>92</v>
      </c>
      <c r="D526" t="s">
        <v>79</v>
      </c>
      <c r="E526" t="s">
        <v>80</v>
      </c>
      <c r="F526" t="s">
        <v>18</v>
      </c>
      <c r="G526" t="s">
        <v>54</v>
      </c>
      <c r="H526" t="s">
        <v>55</v>
      </c>
      <c r="I526" s="5">
        <v>1423.38</v>
      </c>
      <c r="J526" s="8">
        <v>4</v>
      </c>
      <c r="K526" s="5">
        <v>691.56</v>
      </c>
      <c r="L526" t="s">
        <v>38</v>
      </c>
      <c r="M526">
        <v>2025</v>
      </c>
      <c r="N526">
        <f t="shared" si="8"/>
        <v>8</v>
      </c>
    </row>
    <row r="527" spans="1:14" x14ac:dyDescent="0.25">
      <c r="A527" t="s">
        <v>421</v>
      </c>
      <c r="B527" s="2">
        <v>45898</v>
      </c>
      <c r="C527" t="s">
        <v>15</v>
      </c>
      <c r="D527" t="s">
        <v>125</v>
      </c>
      <c r="E527" t="s">
        <v>126</v>
      </c>
      <c r="F527" t="s">
        <v>48</v>
      </c>
      <c r="G527" t="s">
        <v>68</v>
      </c>
      <c r="H527" t="s">
        <v>202</v>
      </c>
      <c r="I527" s="5">
        <v>385.64</v>
      </c>
      <c r="J527" s="8">
        <v>3</v>
      </c>
      <c r="K527" s="5">
        <v>130.79</v>
      </c>
      <c r="L527" t="s">
        <v>29</v>
      </c>
      <c r="M527">
        <v>2025</v>
      </c>
      <c r="N527">
        <f t="shared" si="8"/>
        <v>8</v>
      </c>
    </row>
    <row r="528" spans="1:14" x14ac:dyDescent="0.25">
      <c r="A528" t="s">
        <v>148</v>
      </c>
      <c r="B528" s="2">
        <v>45899</v>
      </c>
      <c r="C528" t="s">
        <v>57</v>
      </c>
      <c r="D528" t="s">
        <v>79</v>
      </c>
      <c r="E528" t="s">
        <v>149</v>
      </c>
      <c r="F528" t="s">
        <v>18</v>
      </c>
      <c r="G528" t="s">
        <v>32</v>
      </c>
      <c r="H528" t="s">
        <v>33</v>
      </c>
      <c r="I528" s="5">
        <v>619.22</v>
      </c>
      <c r="J528" s="8">
        <v>3</v>
      </c>
      <c r="K528" s="5">
        <v>216.89</v>
      </c>
      <c r="L528" t="s">
        <v>38</v>
      </c>
      <c r="M528">
        <v>2025</v>
      </c>
      <c r="N528">
        <f t="shared" si="8"/>
        <v>9</v>
      </c>
    </row>
    <row r="529" spans="1:14" x14ac:dyDescent="0.25">
      <c r="A529" t="s">
        <v>558</v>
      </c>
      <c r="B529" s="2">
        <v>45901</v>
      </c>
      <c r="C529" t="s">
        <v>198</v>
      </c>
      <c r="D529" t="s">
        <v>86</v>
      </c>
      <c r="E529" t="s">
        <v>87</v>
      </c>
      <c r="F529" t="s">
        <v>26</v>
      </c>
      <c r="G529" t="s">
        <v>27</v>
      </c>
      <c r="H529" t="s">
        <v>162</v>
      </c>
      <c r="I529" s="5">
        <v>833.91</v>
      </c>
      <c r="J529" s="8">
        <v>2</v>
      </c>
      <c r="K529" s="5">
        <v>374.43</v>
      </c>
      <c r="L529" t="s">
        <v>29</v>
      </c>
      <c r="M529">
        <v>2025</v>
      </c>
      <c r="N529">
        <f t="shared" si="8"/>
        <v>9</v>
      </c>
    </row>
    <row r="530" spans="1:14" x14ac:dyDescent="0.25">
      <c r="A530" t="s">
        <v>647</v>
      </c>
      <c r="B530" s="2">
        <v>45901</v>
      </c>
      <c r="C530" t="s">
        <v>92</v>
      </c>
      <c r="D530" t="s">
        <v>24</v>
      </c>
      <c r="E530" t="s">
        <v>25</v>
      </c>
      <c r="F530" t="s">
        <v>26</v>
      </c>
      <c r="G530" t="s">
        <v>89</v>
      </c>
      <c r="H530" t="s">
        <v>265</v>
      </c>
      <c r="I530" s="5">
        <v>2518.61</v>
      </c>
      <c r="J530" s="8">
        <v>7</v>
      </c>
      <c r="K530" s="5">
        <v>799.3</v>
      </c>
      <c r="L530" t="s">
        <v>21</v>
      </c>
      <c r="M530">
        <v>2025</v>
      </c>
      <c r="N530">
        <f t="shared" si="8"/>
        <v>9</v>
      </c>
    </row>
    <row r="531" spans="1:14" x14ac:dyDescent="0.25">
      <c r="A531" t="s">
        <v>154</v>
      </c>
      <c r="B531" s="2">
        <v>45903</v>
      </c>
      <c r="C531" t="s">
        <v>111</v>
      </c>
      <c r="D531" t="s">
        <v>125</v>
      </c>
      <c r="E531" t="s">
        <v>126</v>
      </c>
      <c r="F531" t="s">
        <v>48</v>
      </c>
      <c r="G531" t="s">
        <v>68</v>
      </c>
      <c r="H531" t="s">
        <v>69</v>
      </c>
      <c r="I531" s="5">
        <v>3338.38</v>
      </c>
      <c r="J531" s="8">
        <v>7</v>
      </c>
      <c r="K531" s="5">
        <v>1053.73</v>
      </c>
      <c r="L531" t="s">
        <v>21</v>
      </c>
      <c r="M531">
        <v>2025</v>
      </c>
      <c r="N531">
        <f t="shared" si="8"/>
        <v>9</v>
      </c>
    </row>
    <row r="532" spans="1:14" x14ac:dyDescent="0.25">
      <c r="A532" t="s">
        <v>574</v>
      </c>
      <c r="B532" s="2">
        <v>45903</v>
      </c>
      <c r="C532" t="s">
        <v>84</v>
      </c>
      <c r="D532" t="s">
        <v>41</v>
      </c>
      <c r="E532" t="s">
        <v>42</v>
      </c>
      <c r="F532" t="s">
        <v>26</v>
      </c>
      <c r="G532" t="s">
        <v>89</v>
      </c>
      <c r="H532" t="s">
        <v>265</v>
      </c>
      <c r="I532" s="5">
        <v>53.32</v>
      </c>
      <c r="J532" s="8">
        <v>2</v>
      </c>
      <c r="K532" s="5">
        <v>29.22</v>
      </c>
      <c r="L532" t="s">
        <v>21</v>
      </c>
      <c r="M532">
        <v>2025</v>
      </c>
      <c r="N532">
        <f t="shared" si="8"/>
        <v>9</v>
      </c>
    </row>
    <row r="533" spans="1:14" x14ac:dyDescent="0.25">
      <c r="A533" t="s">
        <v>490</v>
      </c>
      <c r="B533" s="2">
        <v>45908</v>
      </c>
      <c r="C533" t="s">
        <v>78</v>
      </c>
      <c r="D533" t="s">
        <v>52</v>
      </c>
      <c r="E533" t="s">
        <v>53</v>
      </c>
      <c r="F533" t="s">
        <v>18</v>
      </c>
      <c r="G533" t="s">
        <v>43</v>
      </c>
      <c r="H533" t="s">
        <v>76</v>
      </c>
      <c r="I533" s="5">
        <v>484.7</v>
      </c>
      <c r="J533" s="8">
        <v>8</v>
      </c>
      <c r="K533" s="5">
        <v>149.76</v>
      </c>
      <c r="L533" t="s">
        <v>21</v>
      </c>
      <c r="M533">
        <v>2025</v>
      </c>
      <c r="N533">
        <f t="shared" si="8"/>
        <v>9</v>
      </c>
    </row>
    <row r="534" spans="1:14" x14ac:dyDescent="0.25">
      <c r="A534" t="s">
        <v>559</v>
      </c>
      <c r="B534" s="2">
        <v>45911</v>
      </c>
      <c r="C534" t="s">
        <v>92</v>
      </c>
      <c r="D534" t="s">
        <v>52</v>
      </c>
      <c r="E534" t="s">
        <v>144</v>
      </c>
      <c r="F534" t="s">
        <v>48</v>
      </c>
      <c r="G534" t="s">
        <v>130</v>
      </c>
      <c r="H534" t="s">
        <v>139</v>
      </c>
      <c r="I534" s="5">
        <v>1302.54</v>
      </c>
      <c r="J534" s="8">
        <v>3</v>
      </c>
      <c r="K534" s="5">
        <v>255.83</v>
      </c>
      <c r="L534" t="s">
        <v>29</v>
      </c>
      <c r="M534">
        <v>2025</v>
      </c>
      <c r="N534">
        <f t="shared" si="8"/>
        <v>9</v>
      </c>
    </row>
    <row r="535" spans="1:14" x14ac:dyDescent="0.25">
      <c r="A535" t="s">
        <v>682</v>
      </c>
      <c r="B535" s="2">
        <v>45911</v>
      </c>
      <c r="C535" t="s">
        <v>23</v>
      </c>
      <c r="D535" t="s">
        <v>24</v>
      </c>
      <c r="E535" t="s">
        <v>25</v>
      </c>
      <c r="F535" t="s">
        <v>48</v>
      </c>
      <c r="G535" t="s">
        <v>94</v>
      </c>
      <c r="H535" t="s">
        <v>95</v>
      </c>
      <c r="I535" s="5">
        <v>1587.74</v>
      </c>
      <c r="J535" s="8">
        <v>6</v>
      </c>
      <c r="K535" s="5">
        <v>791.22</v>
      </c>
      <c r="L535" t="s">
        <v>29</v>
      </c>
      <c r="M535">
        <v>2025</v>
      </c>
      <c r="N535">
        <f t="shared" si="8"/>
        <v>9</v>
      </c>
    </row>
    <row r="536" spans="1:14" x14ac:dyDescent="0.25">
      <c r="A536" t="s">
        <v>448</v>
      </c>
      <c r="B536" s="2">
        <v>45913</v>
      </c>
      <c r="C536" t="s">
        <v>124</v>
      </c>
      <c r="D536" t="s">
        <v>36</v>
      </c>
      <c r="E536" t="s">
        <v>128</v>
      </c>
      <c r="F536" t="s">
        <v>18</v>
      </c>
      <c r="G536" t="s">
        <v>43</v>
      </c>
      <c r="H536" t="s">
        <v>76</v>
      </c>
      <c r="I536" s="5">
        <v>562.76</v>
      </c>
      <c r="J536" s="8">
        <v>4</v>
      </c>
      <c r="K536" s="5">
        <v>205.75</v>
      </c>
      <c r="L536" t="s">
        <v>21</v>
      </c>
      <c r="M536">
        <v>2025</v>
      </c>
      <c r="N536">
        <f t="shared" si="8"/>
        <v>9</v>
      </c>
    </row>
    <row r="537" spans="1:14" x14ac:dyDescent="0.25">
      <c r="A537" t="s">
        <v>495</v>
      </c>
      <c r="B537" s="2">
        <v>45914</v>
      </c>
      <c r="C537" t="s">
        <v>133</v>
      </c>
      <c r="D537" t="s">
        <v>79</v>
      </c>
      <c r="E537" t="s">
        <v>149</v>
      </c>
      <c r="F537" t="s">
        <v>18</v>
      </c>
      <c r="G537" t="s">
        <v>43</v>
      </c>
      <c r="H537" t="s">
        <v>44</v>
      </c>
      <c r="I537" s="5">
        <v>1355.75</v>
      </c>
      <c r="J537" s="8">
        <v>2</v>
      </c>
      <c r="K537" s="5">
        <v>553.47</v>
      </c>
      <c r="L537" t="s">
        <v>21</v>
      </c>
      <c r="M537">
        <v>2025</v>
      </c>
      <c r="N537">
        <f t="shared" si="8"/>
        <v>9</v>
      </c>
    </row>
    <row r="538" spans="1:14" x14ac:dyDescent="0.25">
      <c r="A538" t="s">
        <v>496</v>
      </c>
      <c r="B538" s="2">
        <v>45914</v>
      </c>
      <c r="C538" t="s">
        <v>111</v>
      </c>
      <c r="D538" t="s">
        <v>74</v>
      </c>
      <c r="E538" t="s">
        <v>97</v>
      </c>
      <c r="F538" t="s">
        <v>48</v>
      </c>
      <c r="G538" t="s">
        <v>151</v>
      </c>
      <c r="H538" t="s">
        <v>152</v>
      </c>
      <c r="I538" s="5">
        <v>1947.53</v>
      </c>
      <c r="J538" s="8">
        <v>4</v>
      </c>
      <c r="K538" s="5">
        <v>951.32</v>
      </c>
      <c r="L538" t="s">
        <v>38</v>
      </c>
      <c r="M538">
        <v>2025</v>
      </c>
      <c r="N538">
        <f t="shared" si="8"/>
        <v>9</v>
      </c>
    </row>
    <row r="539" spans="1:14" x14ac:dyDescent="0.25">
      <c r="A539" t="s">
        <v>608</v>
      </c>
      <c r="B539" s="2">
        <v>45914</v>
      </c>
      <c r="C539" t="s">
        <v>35</v>
      </c>
      <c r="D539" t="s">
        <v>52</v>
      </c>
      <c r="E539" t="s">
        <v>144</v>
      </c>
      <c r="F539" t="s">
        <v>48</v>
      </c>
      <c r="G539" t="s">
        <v>59</v>
      </c>
      <c r="H539" t="s">
        <v>142</v>
      </c>
      <c r="I539" s="5">
        <v>1614.33</v>
      </c>
      <c r="J539" s="8">
        <v>3</v>
      </c>
      <c r="K539" s="5">
        <v>868.45</v>
      </c>
      <c r="L539" t="s">
        <v>38</v>
      </c>
      <c r="M539">
        <v>2025</v>
      </c>
      <c r="N539">
        <f t="shared" si="8"/>
        <v>9</v>
      </c>
    </row>
    <row r="540" spans="1:14" x14ac:dyDescent="0.25">
      <c r="A540" t="s">
        <v>320</v>
      </c>
      <c r="B540" s="2">
        <v>45916</v>
      </c>
      <c r="C540" t="s">
        <v>160</v>
      </c>
      <c r="D540" t="s">
        <v>24</v>
      </c>
      <c r="E540" t="s">
        <v>25</v>
      </c>
      <c r="F540" t="s">
        <v>18</v>
      </c>
      <c r="G540" t="s">
        <v>32</v>
      </c>
      <c r="H540" t="s">
        <v>33</v>
      </c>
      <c r="I540" s="5">
        <v>518.72</v>
      </c>
      <c r="J540" s="8">
        <v>1</v>
      </c>
      <c r="K540" s="5">
        <v>108.88</v>
      </c>
      <c r="L540" t="s">
        <v>38</v>
      </c>
      <c r="M540">
        <v>2025</v>
      </c>
      <c r="N540">
        <f t="shared" si="8"/>
        <v>9</v>
      </c>
    </row>
    <row r="541" spans="1:14" x14ac:dyDescent="0.25">
      <c r="A541" t="s">
        <v>171</v>
      </c>
      <c r="B541" s="2">
        <v>45918</v>
      </c>
      <c r="C541" t="s">
        <v>78</v>
      </c>
      <c r="D541" t="s">
        <v>36</v>
      </c>
      <c r="E541" t="s">
        <v>47</v>
      </c>
      <c r="F541" t="s">
        <v>18</v>
      </c>
      <c r="G541" t="s">
        <v>54</v>
      </c>
      <c r="H541" t="s">
        <v>108</v>
      </c>
      <c r="I541" s="5">
        <v>1081.92</v>
      </c>
      <c r="J541" s="8">
        <v>4</v>
      </c>
      <c r="K541" s="5">
        <v>341.12</v>
      </c>
      <c r="L541" t="s">
        <v>21</v>
      </c>
      <c r="M541">
        <v>2025</v>
      </c>
      <c r="N541">
        <f t="shared" si="8"/>
        <v>9</v>
      </c>
    </row>
    <row r="542" spans="1:14" x14ac:dyDescent="0.25">
      <c r="A542" t="s">
        <v>192</v>
      </c>
      <c r="B542" s="2">
        <v>45918</v>
      </c>
      <c r="C542" t="s">
        <v>31</v>
      </c>
      <c r="D542" t="s">
        <v>86</v>
      </c>
      <c r="E542" t="s">
        <v>116</v>
      </c>
      <c r="F542" t="s">
        <v>18</v>
      </c>
      <c r="G542" t="s">
        <v>32</v>
      </c>
      <c r="H542" t="s">
        <v>147</v>
      </c>
      <c r="I542" s="5">
        <v>5036.6400000000003</v>
      </c>
      <c r="J542" s="8">
        <v>8</v>
      </c>
      <c r="K542" s="5">
        <v>2138.35</v>
      </c>
      <c r="L542" t="s">
        <v>21</v>
      </c>
      <c r="M542">
        <v>2025</v>
      </c>
      <c r="N542">
        <f t="shared" si="8"/>
        <v>9</v>
      </c>
    </row>
    <row r="543" spans="1:14" x14ac:dyDescent="0.25">
      <c r="A543" t="s">
        <v>653</v>
      </c>
      <c r="B543" s="2">
        <v>45919</v>
      </c>
      <c r="C543" t="s">
        <v>23</v>
      </c>
      <c r="D543" t="s">
        <v>52</v>
      </c>
      <c r="E543" t="s">
        <v>107</v>
      </c>
      <c r="F543" t="s">
        <v>48</v>
      </c>
      <c r="G543" t="s">
        <v>59</v>
      </c>
      <c r="H543" t="s">
        <v>142</v>
      </c>
      <c r="I543" s="5">
        <v>3622.34</v>
      </c>
      <c r="J543" s="8">
        <v>8</v>
      </c>
      <c r="K543" s="5">
        <v>1510.93</v>
      </c>
      <c r="L543" t="s">
        <v>21</v>
      </c>
      <c r="M543">
        <v>2025</v>
      </c>
      <c r="N543">
        <f t="shared" si="8"/>
        <v>9</v>
      </c>
    </row>
    <row r="544" spans="1:14" x14ac:dyDescent="0.25">
      <c r="A544" t="s">
        <v>100</v>
      </c>
      <c r="B544" s="2">
        <v>45921</v>
      </c>
      <c r="C544" t="s">
        <v>92</v>
      </c>
      <c r="D544" t="s">
        <v>74</v>
      </c>
      <c r="E544" t="s">
        <v>75</v>
      </c>
      <c r="F544" t="s">
        <v>26</v>
      </c>
      <c r="G544" t="s">
        <v>27</v>
      </c>
      <c r="H544" t="s">
        <v>101</v>
      </c>
      <c r="I544" s="5">
        <v>3229.48</v>
      </c>
      <c r="J544" s="8">
        <v>7</v>
      </c>
      <c r="K544" s="5">
        <v>617.65</v>
      </c>
      <c r="L544" t="s">
        <v>38</v>
      </c>
      <c r="M544">
        <v>2025</v>
      </c>
      <c r="N544">
        <f t="shared" si="8"/>
        <v>9</v>
      </c>
    </row>
    <row r="545" spans="1:14" x14ac:dyDescent="0.25">
      <c r="A545" t="s">
        <v>545</v>
      </c>
      <c r="B545" s="2">
        <v>45921</v>
      </c>
      <c r="C545" t="s">
        <v>114</v>
      </c>
      <c r="D545" t="s">
        <v>24</v>
      </c>
      <c r="E545" t="s">
        <v>25</v>
      </c>
      <c r="F545" t="s">
        <v>26</v>
      </c>
      <c r="G545" t="s">
        <v>89</v>
      </c>
      <c r="H545" t="s">
        <v>90</v>
      </c>
      <c r="I545" s="5">
        <v>602.04</v>
      </c>
      <c r="J545" s="8">
        <v>2</v>
      </c>
      <c r="K545" s="5">
        <v>120.68</v>
      </c>
      <c r="L545" t="s">
        <v>21</v>
      </c>
      <c r="M545">
        <v>2025</v>
      </c>
      <c r="N545">
        <f t="shared" si="8"/>
        <v>9</v>
      </c>
    </row>
    <row r="546" spans="1:14" x14ac:dyDescent="0.25">
      <c r="A546" t="s">
        <v>664</v>
      </c>
      <c r="B546" s="2">
        <v>45922</v>
      </c>
      <c r="C546" t="s">
        <v>84</v>
      </c>
      <c r="D546" t="s">
        <v>86</v>
      </c>
      <c r="E546" t="s">
        <v>118</v>
      </c>
      <c r="F546" t="s">
        <v>26</v>
      </c>
      <c r="G546" t="s">
        <v>81</v>
      </c>
      <c r="H546" t="s">
        <v>82</v>
      </c>
      <c r="I546" s="5">
        <v>4118.33</v>
      </c>
      <c r="J546" s="8">
        <v>8</v>
      </c>
      <c r="K546" s="5">
        <v>787.29</v>
      </c>
      <c r="L546" t="s">
        <v>29</v>
      </c>
      <c r="M546">
        <v>2025</v>
      </c>
      <c r="N546">
        <f t="shared" si="8"/>
        <v>9</v>
      </c>
    </row>
    <row r="547" spans="1:14" x14ac:dyDescent="0.25">
      <c r="A547" t="s">
        <v>102</v>
      </c>
      <c r="B547" s="2">
        <v>45923</v>
      </c>
      <c r="C547" t="s">
        <v>92</v>
      </c>
      <c r="D547" t="s">
        <v>24</v>
      </c>
      <c r="E547" t="s">
        <v>103</v>
      </c>
      <c r="F547" t="s">
        <v>48</v>
      </c>
      <c r="G547" t="s">
        <v>94</v>
      </c>
      <c r="H547" t="s">
        <v>104</v>
      </c>
      <c r="I547" s="5">
        <v>5063.91</v>
      </c>
      <c r="J547" s="8">
        <v>7</v>
      </c>
      <c r="K547" s="5">
        <v>2044.78</v>
      </c>
      <c r="L547" t="s">
        <v>21</v>
      </c>
      <c r="M547">
        <v>2025</v>
      </c>
      <c r="N547">
        <f t="shared" si="8"/>
        <v>9</v>
      </c>
    </row>
    <row r="548" spans="1:14" x14ac:dyDescent="0.25">
      <c r="A548" t="s">
        <v>606</v>
      </c>
      <c r="B548" s="2">
        <v>45925</v>
      </c>
      <c r="C548" t="s">
        <v>35</v>
      </c>
      <c r="D548" t="s">
        <v>36</v>
      </c>
      <c r="E548" t="s">
        <v>37</v>
      </c>
      <c r="F548" t="s">
        <v>26</v>
      </c>
      <c r="G548" t="s">
        <v>81</v>
      </c>
      <c r="H548" t="s">
        <v>82</v>
      </c>
      <c r="I548" s="5">
        <v>5618.43</v>
      </c>
      <c r="J548" s="8">
        <v>8</v>
      </c>
      <c r="K548" s="5">
        <v>2770.71</v>
      </c>
      <c r="L548" t="s">
        <v>21</v>
      </c>
      <c r="M548">
        <v>2025</v>
      </c>
      <c r="N548">
        <f t="shared" si="8"/>
        <v>9</v>
      </c>
    </row>
    <row r="549" spans="1:14" x14ac:dyDescent="0.25">
      <c r="A549" t="s">
        <v>640</v>
      </c>
      <c r="B549" s="2">
        <v>45928</v>
      </c>
      <c r="C549" t="s">
        <v>35</v>
      </c>
      <c r="D549" t="s">
        <v>125</v>
      </c>
      <c r="E549" t="s">
        <v>146</v>
      </c>
      <c r="F549" t="s">
        <v>26</v>
      </c>
      <c r="G549" t="s">
        <v>27</v>
      </c>
      <c r="H549" t="s">
        <v>101</v>
      </c>
      <c r="I549" s="5">
        <v>538.67999999999995</v>
      </c>
      <c r="J549" s="8">
        <v>4</v>
      </c>
      <c r="K549" s="5">
        <v>209.84</v>
      </c>
      <c r="L549" t="s">
        <v>38</v>
      </c>
      <c r="M549">
        <v>2025</v>
      </c>
      <c r="N549">
        <f t="shared" si="8"/>
        <v>10</v>
      </c>
    </row>
    <row r="550" spans="1:14" x14ac:dyDescent="0.25">
      <c r="A550" t="s">
        <v>218</v>
      </c>
      <c r="B550" s="2">
        <v>45931</v>
      </c>
      <c r="C550" t="s">
        <v>35</v>
      </c>
      <c r="D550" t="s">
        <v>24</v>
      </c>
      <c r="E550" t="s">
        <v>25</v>
      </c>
      <c r="F550" t="s">
        <v>48</v>
      </c>
      <c r="G550" t="s">
        <v>94</v>
      </c>
      <c r="H550" t="s">
        <v>104</v>
      </c>
      <c r="I550" s="5">
        <v>911.65</v>
      </c>
      <c r="J550" s="8">
        <v>2</v>
      </c>
      <c r="K550" s="5">
        <v>313.58999999999997</v>
      </c>
      <c r="L550" t="s">
        <v>38</v>
      </c>
      <c r="M550">
        <v>2025</v>
      </c>
      <c r="N550">
        <f t="shared" si="8"/>
        <v>10</v>
      </c>
    </row>
    <row r="551" spans="1:14" x14ac:dyDescent="0.25">
      <c r="A551" t="s">
        <v>318</v>
      </c>
      <c r="B551" s="2">
        <v>45931</v>
      </c>
      <c r="C551" t="s">
        <v>46</v>
      </c>
      <c r="D551" t="s">
        <v>74</v>
      </c>
      <c r="E551" t="s">
        <v>213</v>
      </c>
      <c r="F551" t="s">
        <v>18</v>
      </c>
      <c r="G551" t="s">
        <v>19</v>
      </c>
      <c r="H551" t="s">
        <v>72</v>
      </c>
      <c r="I551" s="5">
        <v>4440.54</v>
      </c>
      <c r="J551" s="8">
        <v>8</v>
      </c>
      <c r="K551" s="5">
        <v>2223.4699999999998</v>
      </c>
      <c r="L551" t="s">
        <v>38</v>
      </c>
      <c r="M551">
        <v>2025</v>
      </c>
      <c r="N551">
        <f t="shared" si="8"/>
        <v>10</v>
      </c>
    </row>
    <row r="552" spans="1:14" x14ac:dyDescent="0.25">
      <c r="A552" t="s">
        <v>406</v>
      </c>
      <c r="B552" s="2">
        <v>45932</v>
      </c>
      <c r="C552" t="s">
        <v>198</v>
      </c>
      <c r="D552" t="s">
        <v>86</v>
      </c>
      <c r="E552" t="s">
        <v>87</v>
      </c>
      <c r="F552" t="s">
        <v>26</v>
      </c>
      <c r="G552" t="s">
        <v>89</v>
      </c>
      <c r="H552" t="s">
        <v>90</v>
      </c>
      <c r="I552" s="5">
        <v>4948.8599999999997</v>
      </c>
      <c r="J552" s="8">
        <v>7</v>
      </c>
      <c r="K552" s="5">
        <v>1265.68</v>
      </c>
      <c r="L552" t="s">
        <v>21</v>
      </c>
      <c r="M552">
        <v>2025</v>
      </c>
      <c r="N552">
        <f t="shared" si="8"/>
        <v>10</v>
      </c>
    </row>
    <row r="553" spans="1:14" x14ac:dyDescent="0.25">
      <c r="A553" t="s">
        <v>512</v>
      </c>
      <c r="B553" s="2">
        <v>45932</v>
      </c>
      <c r="C553" t="s">
        <v>84</v>
      </c>
      <c r="D553" t="s">
        <v>79</v>
      </c>
      <c r="E553" t="s">
        <v>138</v>
      </c>
      <c r="F553" t="s">
        <v>18</v>
      </c>
      <c r="G553" t="s">
        <v>19</v>
      </c>
      <c r="H553" t="s">
        <v>72</v>
      </c>
      <c r="I553" s="5">
        <v>3292.55</v>
      </c>
      <c r="J553" s="8">
        <v>5</v>
      </c>
      <c r="K553" s="5">
        <v>1585.37</v>
      </c>
      <c r="L553" t="s">
        <v>21</v>
      </c>
      <c r="M553">
        <v>2025</v>
      </c>
      <c r="N553">
        <f t="shared" si="8"/>
        <v>10</v>
      </c>
    </row>
    <row r="554" spans="1:14" x14ac:dyDescent="0.25">
      <c r="A554" t="s">
        <v>503</v>
      </c>
      <c r="B554" s="2">
        <v>45939</v>
      </c>
      <c r="C554" t="s">
        <v>160</v>
      </c>
      <c r="D554" t="s">
        <v>52</v>
      </c>
      <c r="E554" t="s">
        <v>53</v>
      </c>
      <c r="F554" t="s">
        <v>18</v>
      </c>
      <c r="G554" t="s">
        <v>19</v>
      </c>
      <c r="H554" t="s">
        <v>20</v>
      </c>
      <c r="I554" s="5">
        <v>726.89</v>
      </c>
      <c r="J554" s="8">
        <v>3</v>
      </c>
      <c r="K554" s="5">
        <v>173.46</v>
      </c>
      <c r="L554" t="s">
        <v>38</v>
      </c>
      <c r="M554">
        <v>2025</v>
      </c>
      <c r="N554">
        <f t="shared" si="8"/>
        <v>10</v>
      </c>
    </row>
    <row r="555" spans="1:14" x14ac:dyDescent="0.25">
      <c r="A555" t="s">
        <v>658</v>
      </c>
      <c r="B555" s="2">
        <v>45941</v>
      </c>
      <c r="C555" t="s">
        <v>35</v>
      </c>
      <c r="D555" t="s">
        <v>52</v>
      </c>
      <c r="E555" t="s">
        <v>144</v>
      </c>
      <c r="F555" t="s">
        <v>48</v>
      </c>
      <c r="G555" t="s">
        <v>94</v>
      </c>
      <c r="H555" t="s">
        <v>95</v>
      </c>
      <c r="I555" s="5">
        <v>2541.31</v>
      </c>
      <c r="J555" s="8">
        <v>8</v>
      </c>
      <c r="K555" s="5">
        <v>934.84</v>
      </c>
      <c r="L555" t="s">
        <v>21</v>
      </c>
      <c r="M555">
        <v>2025</v>
      </c>
      <c r="N555">
        <f t="shared" si="8"/>
        <v>10</v>
      </c>
    </row>
    <row r="556" spans="1:14" x14ac:dyDescent="0.25">
      <c r="A556" t="s">
        <v>257</v>
      </c>
      <c r="B556" s="2">
        <v>45943</v>
      </c>
      <c r="C556" t="s">
        <v>111</v>
      </c>
      <c r="D556" t="s">
        <v>52</v>
      </c>
      <c r="E556" t="s">
        <v>144</v>
      </c>
      <c r="F556" t="s">
        <v>48</v>
      </c>
      <c r="G556" t="s">
        <v>94</v>
      </c>
      <c r="H556" t="s">
        <v>104</v>
      </c>
      <c r="I556" s="5">
        <v>1467.65</v>
      </c>
      <c r="J556" s="8">
        <v>3</v>
      </c>
      <c r="K556" s="5">
        <v>294.45</v>
      </c>
      <c r="L556" t="s">
        <v>38</v>
      </c>
      <c r="M556">
        <v>2025</v>
      </c>
      <c r="N556">
        <f t="shared" si="8"/>
        <v>10</v>
      </c>
    </row>
    <row r="557" spans="1:14" x14ac:dyDescent="0.25">
      <c r="A557" t="s">
        <v>372</v>
      </c>
      <c r="B557" s="2">
        <v>45943</v>
      </c>
      <c r="C557" t="s">
        <v>84</v>
      </c>
      <c r="D557" t="s">
        <v>16</v>
      </c>
      <c r="E557" t="s">
        <v>17</v>
      </c>
      <c r="F557" t="s">
        <v>18</v>
      </c>
      <c r="G557" t="s">
        <v>54</v>
      </c>
      <c r="H557" t="s">
        <v>108</v>
      </c>
      <c r="I557" s="5">
        <v>700.65</v>
      </c>
      <c r="J557" s="8">
        <v>3</v>
      </c>
      <c r="K557" s="5">
        <v>362.23</v>
      </c>
      <c r="L557" t="s">
        <v>21</v>
      </c>
      <c r="M557">
        <v>2025</v>
      </c>
      <c r="N557">
        <f t="shared" si="8"/>
        <v>10</v>
      </c>
    </row>
    <row r="558" spans="1:14" x14ac:dyDescent="0.25">
      <c r="A558" t="s">
        <v>441</v>
      </c>
      <c r="B558" s="2">
        <v>45943</v>
      </c>
      <c r="C558" t="s">
        <v>62</v>
      </c>
      <c r="D558" t="s">
        <v>36</v>
      </c>
      <c r="E558" t="s">
        <v>128</v>
      </c>
      <c r="F558" t="s">
        <v>48</v>
      </c>
      <c r="G558" t="s">
        <v>49</v>
      </c>
      <c r="H558" t="s">
        <v>50</v>
      </c>
      <c r="I558" s="5">
        <v>286.31</v>
      </c>
      <c r="J558" s="8">
        <v>1</v>
      </c>
      <c r="K558" s="5">
        <v>94.83</v>
      </c>
      <c r="L558" t="s">
        <v>21</v>
      </c>
      <c r="M558">
        <v>2025</v>
      </c>
      <c r="N558">
        <f t="shared" si="8"/>
        <v>10</v>
      </c>
    </row>
    <row r="559" spans="1:14" x14ac:dyDescent="0.25">
      <c r="A559" t="s">
        <v>277</v>
      </c>
      <c r="B559" s="2">
        <v>45947</v>
      </c>
      <c r="C559" t="s">
        <v>65</v>
      </c>
      <c r="D559" t="s">
        <v>66</v>
      </c>
      <c r="E559" t="s">
        <v>271</v>
      </c>
      <c r="F559" t="s">
        <v>18</v>
      </c>
      <c r="G559" t="s">
        <v>19</v>
      </c>
      <c r="H559" t="s">
        <v>20</v>
      </c>
      <c r="I559" s="5">
        <v>315.42</v>
      </c>
      <c r="J559" s="8">
        <v>3</v>
      </c>
      <c r="K559" s="5">
        <v>111.12</v>
      </c>
      <c r="L559" t="s">
        <v>29</v>
      </c>
      <c r="M559">
        <v>2025</v>
      </c>
      <c r="N559">
        <f t="shared" si="8"/>
        <v>10</v>
      </c>
    </row>
    <row r="560" spans="1:14" x14ac:dyDescent="0.25">
      <c r="A560" t="s">
        <v>369</v>
      </c>
      <c r="B560" s="2">
        <v>45953</v>
      </c>
      <c r="C560" t="s">
        <v>23</v>
      </c>
      <c r="D560" t="s">
        <v>86</v>
      </c>
      <c r="E560" t="s">
        <v>118</v>
      </c>
      <c r="F560" t="s">
        <v>26</v>
      </c>
      <c r="G560" t="s">
        <v>89</v>
      </c>
      <c r="H560" t="s">
        <v>265</v>
      </c>
      <c r="I560" s="5">
        <v>179.83</v>
      </c>
      <c r="J560" s="8">
        <v>5</v>
      </c>
      <c r="K560" s="5">
        <v>69.14</v>
      </c>
      <c r="L560" t="s">
        <v>38</v>
      </c>
      <c r="M560">
        <v>2025</v>
      </c>
      <c r="N560">
        <f t="shared" si="8"/>
        <v>10</v>
      </c>
    </row>
    <row r="561" spans="1:14" x14ac:dyDescent="0.25">
      <c r="A561" t="s">
        <v>286</v>
      </c>
      <c r="B561" s="2">
        <v>45954</v>
      </c>
      <c r="C561" t="s">
        <v>62</v>
      </c>
      <c r="D561" t="s">
        <v>52</v>
      </c>
      <c r="E561" t="s">
        <v>107</v>
      </c>
      <c r="F561" t="s">
        <v>48</v>
      </c>
      <c r="G561" t="s">
        <v>130</v>
      </c>
      <c r="H561" t="s">
        <v>139</v>
      </c>
      <c r="I561" s="5">
        <v>6070.69</v>
      </c>
      <c r="J561" s="8">
        <v>7</v>
      </c>
      <c r="K561" s="5">
        <v>3209.59</v>
      </c>
      <c r="L561" t="s">
        <v>29</v>
      </c>
      <c r="M561">
        <v>2025</v>
      </c>
      <c r="N561">
        <f t="shared" si="8"/>
        <v>10</v>
      </c>
    </row>
    <row r="562" spans="1:14" x14ac:dyDescent="0.25">
      <c r="A562" t="s">
        <v>321</v>
      </c>
      <c r="B562" s="2">
        <v>45955</v>
      </c>
      <c r="C562" t="s">
        <v>46</v>
      </c>
      <c r="D562" t="s">
        <v>24</v>
      </c>
      <c r="E562" t="s">
        <v>25</v>
      </c>
      <c r="F562" t="s">
        <v>18</v>
      </c>
      <c r="G562" t="s">
        <v>19</v>
      </c>
      <c r="H562" t="s">
        <v>72</v>
      </c>
      <c r="I562" s="5">
        <v>68.760000000000005</v>
      </c>
      <c r="J562" s="8">
        <v>1</v>
      </c>
      <c r="K562" s="5">
        <v>15.78</v>
      </c>
      <c r="L562" t="s">
        <v>38</v>
      </c>
      <c r="M562">
        <v>2025</v>
      </c>
      <c r="N562">
        <f t="shared" si="8"/>
        <v>10</v>
      </c>
    </row>
    <row r="563" spans="1:14" x14ac:dyDescent="0.25">
      <c r="A563" t="s">
        <v>269</v>
      </c>
      <c r="B563" s="2">
        <v>45956</v>
      </c>
      <c r="C563" t="s">
        <v>114</v>
      </c>
      <c r="D563" t="s">
        <v>74</v>
      </c>
      <c r="E563" t="s">
        <v>213</v>
      </c>
      <c r="F563" t="s">
        <v>18</v>
      </c>
      <c r="G563" t="s">
        <v>54</v>
      </c>
      <c r="H563" t="s">
        <v>108</v>
      </c>
      <c r="I563" s="5">
        <v>3572.74</v>
      </c>
      <c r="J563" s="8">
        <v>7</v>
      </c>
      <c r="K563" s="5">
        <v>1913.21</v>
      </c>
      <c r="L563" t="s">
        <v>21</v>
      </c>
      <c r="M563">
        <v>2025</v>
      </c>
      <c r="N563">
        <f t="shared" si="8"/>
        <v>10</v>
      </c>
    </row>
    <row r="564" spans="1:14" x14ac:dyDescent="0.25">
      <c r="A564" t="s">
        <v>474</v>
      </c>
      <c r="B564" s="2">
        <v>45956</v>
      </c>
      <c r="C564" t="s">
        <v>137</v>
      </c>
      <c r="D564" t="s">
        <v>41</v>
      </c>
      <c r="E564" t="s">
        <v>42</v>
      </c>
      <c r="F564" t="s">
        <v>18</v>
      </c>
      <c r="G564" t="s">
        <v>43</v>
      </c>
      <c r="H564" t="s">
        <v>44</v>
      </c>
      <c r="I564" s="5">
        <v>3576.22</v>
      </c>
      <c r="J564" s="8">
        <v>6</v>
      </c>
      <c r="K564" s="5">
        <v>1931.81</v>
      </c>
      <c r="L564" t="s">
        <v>21</v>
      </c>
      <c r="M564">
        <v>2025</v>
      </c>
      <c r="N564">
        <f t="shared" si="8"/>
        <v>10</v>
      </c>
    </row>
    <row r="565" spans="1:14" x14ac:dyDescent="0.25">
      <c r="A565" t="s">
        <v>217</v>
      </c>
      <c r="B565" s="2">
        <v>45958</v>
      </c>
      <c r="C565" t="s">
        <v>133</v>
      </c>
      <c r="D565" t="s">
        <v>16</v>
      </c>
      <c r="E565" t="s">
        <v>190</v>
      </c>
      <c r="F565" t="s">
        <v>48</v>
      </c>
      <c r="G565" t="s">
        <v>49</v>
      </c>
      <c r="H565" t="s">
        <v>50</v>
      </c>
      <c r="I565" s="5">
        <v>2224.56</v>
      </c>
      <c r="J565" s="8">
        <v>8</v>
      </c>
      <c r="K565" s="5">
        <v>1002.53</v>
      </c>
      <c r="L565" t="s">
        <v>21</v>
      </c>
      <c r="M565">
        <v>2025</v>
      </c>
      <c r="N565">
        <f t="shared" si="8"/>
        <v>10</v>
      </c>
    </row>
    <row r="566" spans="1:14" x14ac:dyDescent="0.25">
      <c r="A566" t="s">
        <v>437</v>
      </c>
      <c r="B566" s="2">
        <v>45960</v>
      </c>
      <c r="C566" t="s">
        <v>114</v>
      </c>
      <c r="D566" t="s">
        <v>24</v>
      </c>
      <c r="E566" t="s">
        <v>25</v>
      </c>
      <c r="F566" t="s">
        <v>26</v>
      </c>
      <c r="G566" t="s">
        <v>27</v>
      </c>
      <c r="H566" t="s">
        <v>101</v>
      </c>
      <c r="I566" s="5">
        <v>64.67</v>
      </c>
      <c r="J566" s="8">
        <v>1</v>
      </c>
      <c r="K566" s="5">
        <v>13.21</v>
      </c>
      <c r="L566" t="s">
        <v>21</v>
      </c>
      <c r="M566">
        <v>2025</v>
      </c>
      <c r="N566">
        <f t="shared" si="8"/>
        <v>11</v>
      </c>
    </row>
    <row r="567" spans="1:14" x14ac:dyDescent="0.25">
      <c r="A567" t="s">
        <v>115</v>
      </c>
      <c r="B567" s="2">
        <v>45962</v>
      </c>
      <c r="C567" t="s">
        <v>57</v>
      </c>
      <c r="D567" t="s">
        <v>86</v>
      </c>
      <c r="E567" t="s">
        <v>116</v>
      </c>
      <c r="F567" t="s">
        <v>26</v>
      </c>
      <c r="G567" t="s">
        <v>81</v>
      </c>
      <c r="H567" t="s">
        <v>112</v>
      </c>
      <c r="I567" s="5">
        <v>527.80999999999995</v>
      </c>
      <c r="J567" s="8">
        <v>5</v>
      </c>
      <c r="K567" s="5">
        <v>258.02</v>
      </c>
      <c r="L567" t="s">
        <v>38</v>
      </c>
      <c r="M567">
        <v>2025</v>
      </c>
      <c r="N567">
        <f t="shared" si="8"/>
        <v>11</v>
      </c>
    </row>
    <row r="568" spans="1:14" x14ac:dyDescent="0.25">
      <c r="A568" t="s">
        <v>428</v>
      </c>
      <c r="B568" s="2">
        <v>45965</v>
      </c>
      <c r="C568" t="s">
        <v>46</v>
      </c>
      <c r="D568" t="s">
        <v>36</v>
      </c>
      <c r="E568" t="s">
        <v>128</v>
      </c>
      <c r="F568" t="s">
        <v>18</v>
      </c>
      <c r="G568" t="s">
        <v>54</v>
      </c>
      <c r="H568" t="s">
        <v>55</v>
      </c>
      <c r="I568" s="5">
        <v>3891.05</v>
      </c>
      <c r="J568" s="8">
        <v>6</v>
      </c>
      <c r="K568" s="5">
        <v>1642.38</v>
      </c>
      <c r="L568" t="s">
        <v>21</v>
      </c>
      <c r="M568">
        <v>2025</v>
      </c>
      <c r="N568">
        <f t="shared" si="8"/>
        <v>11</v>
      </c>
    </row>
    <row r="569" spans="1:14" x14ac:dyDescent="0.25">
      <c r="A569" t="s">
        <v>105</v>
      </c>
      <c r="B569" s="2">
        <v>45967</v>
      </c>
      <c r="C569" t="s">
        <v>46</v>
      </c>
      <c r="D569" t="s">
        <v>36</v>
      </c>
      <c r="E569" t="s">
        <v>47</v>
      </c>
      <c r="F569" t="s">
        <v>26</v>
      </c>
      <c r="G569" t="s">
        <v>98</v>
      </c>
      <c r="H569" t="s">
        <v>99</v>
      </c>
      <c r="I569" s="5">
        <v>660.68</v>
      </c>
      <c r="J569" s="8">
        <v>1</v>
      </c>
      <c r="K569" s="5">
        <v>138.02000000000001</v>
      </c>
      <c r="L569" t="s">
        <v>21</v>
      </c>
      <c r="M569">
        <v>2025</v>
      </c>
      <c r="N569">
        <f t="shared" si="8"/>
        <v>11</v>
      </c>
    </row>
    <row r="570" spans="1:14" x14ac:dyDescent="0.25">
      <c r="A570" t="s">
        <v>456</v>
      </c>
      <c r="B570" s="2">
        <v>45968</v>
      </c>
      <c r="C570" t="s">
        <v>78</v>
      </c>
      <c r="D570" t="s">
        <v>79</v>
      </c>
      <c r="E570" t="s">
        <v>80</v>
      </c>
      <c r="F570" t="s">
        <v>18</v>
      </c>
      <c r="G570" t="s">
        <v>43</v>
      </c>
      <c r="H570" t="s">
        <v>76</v>
      </c>
      <c r="I570" s="5">
        <v>5465.41</v>
      </c>
      <c r="J570" s="8">
        <v>8</v>
      </c>
      <c r="K570" s="5">
        <v>2620.37</v>
      </c>
      <c r="L570" t="s">
        <v>21</v>
      </c>
      <c r="M570">
        <v>2025</v>
      </c>
      <c r="N570">
        <f t="shared" si="8"/>
        <v>11</v>
      </c>
    </row>
    <row r="571" spans="1:14" x14ac:dyDescent="0.25">
      <c r="A571" t="s">
        <v>189</v>
      </c>
      <c r="B571" s="2">
        <v>45969</v>
      </c>
      <c r="C571" t="s">
        <v>23</v>
      </c>
      <c r="D571" t="s">
        <v>16</v>
      </c>
      <c r="E571" t="s">
        <v>190</v>
      </c>
      <c r="F571" t="s">
        <v>26</v>
      </c>
      <c r="G571" t="s">
        <v>27</v>
      </c>
      <c r="H571" t="s">
        <v>162</v>
      </c>
      <c r="I571" s="5">
        <v>2473.35</v>
      </c>
      <c r="J571" s="8">
        <v>5</v>
      </c>
      <c r="K571" s="5">
        <v>1139.01</v>
      </c>
      <c r="L571" t="s">
        <v>21</v>
      </c>
      <c r="M571">
        <v>2025</v>
      </c>
      <c r="N571">
        <f t="shared" si="8"/>
        <v>11</v>
      </c>
    </row>
    <row r="572" spans="1:14" x14ac:dyDescent="0.25">
      <c r="A572" t="s">
        <v>462</v>
      </c>
      <c r="B572" s="2">
        <v>45973</v>
      </c>
      <c r="C572" t="s">
        <v>198</v>
      </c>
      <c r="D572" t="s">
        <v>41</v>
      </c>
      <c r="E572" t="s">
        <v>58</v>
      </c>
      <c r="F572" t="s">
        <v>18</v>
      </c>
      <c r="G572" t="s">
        <v>54</v>
      </c>
      <c r="H572" t="s">
        <v>55</v>
      </c>
      <c r="I572" s="5">
        <v>300.66000000000003</v>
      </c>
      <c r="J572" s="8">
        <v>4</v>
      </c>
      <c r="K572" s="5">
        <v>123.83</v>
      </c>
      <c r="L572" t="s">
        <v>21</v>
      </c>
      <c r="M572">
        <v>2025</v>
      </c>
      <c r="N572">
        <f t="shared" si="8"/>
        <v>11</v>
      </c>
    </row>
    <row r="573" spans="1:14" x14ac:dyDescent="0.25">
      <c r="A573" t="s">
        <v>129</v>
      </c>
      <c r="B573" s="2">
        <v>45974</v>
      </c>
      <c r="C573" t="s">
        <v>124</v>
      </c>
      <c r="D573" t="s">
        <v>41</v>
      </c>
      <c r="E573" t="s">
        <v>63</v>
      </c>
      <c r="F573" t="s">
        <v>48</v>
      </c>
      <c r="G573" t="s">
        <v>130</v>
      </c>
      <c r="H573" t="s">
        <v>131</v>
      </c>
      <c r="I573" s="5">
        <v>1790.65</v>
      </c>
      <c r="J573" s="8">
        <v>7</v>
      </c>
      <c r="K573" s="5">
        <v>501.46</v>
      </c>
      <c r="L573" t="s">
        <v>21</v>
      </c>
      <c r="M573">
        <v>2025</v>
      </c>
      <c r="N573">
        <f t="shared" si="8"/>
        <v>11</v>
      </c>
    </row>
    <row r="574" spans="1:14" x14ac:dyDescent="0.25">
      <c r="A574" t="s">
        <v>442</v>
      </c>
      <c r="B574" s="2">
        <v>45974</v>
      </c>
      <c r="C574" t="s">
        <v>114</v>
      </c>
      <c r="D574" t="s">
        <v>16</v>
      </c>
      <c r="E574" t="s">
        <v>17</v>
      </c>
      <c r="F574" t="s">
        <v>18</v>
      </c>
      <c r="G574" t="s">
        <v>32</v>
      </c>
      <c r="H574" t="s">
        <v>147</v>
      </c>
      <c r="I574" s="5">
        <v>767.72</v>
      </c>
      <c r="J574" s="8">
        <v>2</v>
      </c>
      <c r="K574" s="5">
        <v>210.84</v>
      </c>
      <c r="L574" t="s">
        <v>21</v>
      </c>
      <c r="M574">
        <v>2025</v>
      </c>
      <c r="N574">
        <f t="shared" si="8"/>
        <v>11</v>
      </c>
    </row>
    <row r="575" spans="1:14" x14ac:dyDescent="0.25">
      <c r="A575" t="s">
        <v>699</v>
      </c>
      <c r="B575" s="2">
        <v>45974</v>
      </c>
      <c r="C575" t="s">
        <v>120</v>
      </c>
      <c r="D575" t="s">
        <v>52</v>
      </c>
      <c r="E575" t="s">
        <v>53</v>
      </c>
      <c r="F575" t="s">
        <v>48</v>
      </c>
      <c r="G575" t="s">
        <v>130</v>
      </c>
      <c r="H575" t="s">
        <v>131</v>
      </c>
      <c r="I575" s="5">
        <v>4075.97</v>
      </c>
      <c r="J575" s="8">
        <v>8</v>
      </c>
      <c r="K575" s="5">
        <v>882.41</v>
      </c>
      <c r="L575" t="s">
        <v>21</v>
      </c>
      <c r="M575">
        <v>2025</v>
      </c>
      <c r="N575">
        <f t="shared" si="8"/>
        <v>11</v>
      </c>
    </row>
    <row r="576" spans="1:14" x14ac:dyDescent="0.25">
      <c r="A576" t="s">
        <v>477</v>
      </c>
      <c r="B576" s="2">
        <v>45976</v>
      </c>
      <c r="C576" t="s">
        <v>46</v>
      </c>
      <c r="D576" t="s">
        <v>86</v>
      </c>
      <c r="E576" t="s">
        <v>118</v>
      </c>
      <c r="F576" t="s">
        <v>18</v>
      </c>
      <c r="G576" t="s">
        <v>19</v>
      </c>
      <c r="H576" t="s">
        <v>20</v>
      </c>
      <c r="I576" s="5">
        <v>2263.73</v>
      </c>
      <c r="J576" s="8">
        <v>7</v>
      </c>
      <c r="K576" s="5">
        <v>553.96</v>
      </c>
      <c r="L576" t="s">
        <v>21</v>
      </c>
      <c r="M576">
        <v>2025</v>
      </c>
      <c r="N576">
        <f t="shared" si="8"/>
        <v>11</v>
      </c>
    </row>
    <row r="577" spans="1:14" x14ac:dyDescent="0.25">
      <c r="A577" t="s">
        <v>464</v>
      </c>
      <c r="B577" s="2">
        <v>45979</v>
      </c>
      <c r="C577" t="s">
        <v>124</v>
      </c>
      <c r="D577" t="s">
        <v>86</v>
      </c>
      <c r="E577" t="s">
        <v>87</v>
      </c>
      <c r="F577" t="s">
        <v>26</v>
      </c>
      <c r="G577" t="s">
        <v>89</v>
      </c>
      <c r="H577" t="s">
        <v>90</v>
      </c>
      <c r="I577" s="5">
        <v>1715.2</v>
      </c>
      <c r="J577" s="8">
        <v>3</v>
      </c>
      <c r="K577" s="5">
        <v>844.26</v>
      </c>
      <c r="L577" t="s">
        <v>21</v>
      </c>
      <c r="M577">
        <v>2025</v>
      </c>
      <c r="N577">
        <f t="shared" si="8"/>
        <v>11</v>
      </c>
    </row>
    <row r="578" spans="1:14" x14ac:dyDescent="0.25">
      <c r="A578" t="s">
        <v>470</v>
      </c>
      <c r="B578" s="2">
        <v>45979</v>
      </c>
      <c r="C578" t="s">
        <v>114</v>
      </c>
      <c r="D578" t="s">
        <v>79</v>
      </c>
      <c r="E578" t="s">
        <v>80</v>
      </c>
      <c r="F578" t="s">
        <v>48</v>
      </c>
      <c r="G578" t="s">
        <v>130</v>
      </c>
      <c r="H578" t="s">
        <v>139</v>
      </c>
      <c r="I578" s="5">
        <v>3679.73</v>
      </c>
      <c r="J578" s="8">
        <v>6</v>
      </c>
      <c r="K578" s="5">
        <v>1202.5999999999999</v>
      </c>
      <c r="L578" t="s">
        <v>21</v>
      </c>
      <c r="M578">
        <v>2025</v>
      </c>
      <c r="N578">
        <f t="shared" ref="N578:N601" si="9">MONTH(B579)</f>
        <v>11</v>
      </c>
    </row>
    <row r="579" spans="1:14" x14ac:dyDescent="0.25">
      <c r="A579" t="s">
        <v>357</v>
      </c>
      <c r="B579" s="2">
        <v>45982</v>
      </c>
      <c r="C579" t="s">
        <v>111</v>
      </c>
      <c r="D579" t="s">
        <v>52</v>
      </c>
      <c r="E579" t="s">
        <v>53</v>
      </c>
      <c r="F579" t="s">
        <v>48</v>
      </c>
      <c r="G579" t="s">
        <v>151</v>
      </c>
      <c r="H579" t="s">
        <v>174</v>
      </c>
      <c r="I579" s="5">
        <v>3123.1</v>
      </c>
      <c r="J579" s="8">
        <v>7</v>
      </c>
      <c r="K579" s="5">
        <v>1185.25</v>
      </c>
      <c r="L579" t="s">
        <v>21</v>
      </c>
      <c r="M579">
        <v>2025</v>
      </c>
      <c r="N579">
        <f t="shared" si="9"/>
        <v>11</v>
      </c>
    </row>
    <row r="580" spans="1:14" x14ac:dyDescent="0.25">
      <c r="A580" t="s">
        <v>246</v>
      </c>
      <c r="B580" s="2">
        <v>45983</v>
      </c>
      <c r="C580" t="s">
        <v>137</v>
      </c>
      <c r="D580" t="s">
        <v>86</v>
      </c>
      <c r="E580" t="s">
        <v>118</v>
      </c>
      <c r="F580" t="s">
        <v>18</v>
      </c>
      <c r="G580" t="s">
        <v>32</v>
      </c>
      <c r="H580" t="s">
        <v>33</v>
      </c>
      <c r="I580" s="5">
        <v>1361.22</v>
      </c>
      <c r="J580" s="8">
        <v>2</v>
      </c>
      <c r="K580" s="5">
        <v>417.72</v>
      </c>
      <c r="L580" t="s">
        <v>21</v>
      </c>
      <c r="M580">
        <v>2025</v>
      </c>
      <c r="N580">
        <f t="shared" si="9"/>
        <v>11</v>
      </c>
    </row>
    <row r="581" spans="1:14" x14ac:dyDescent="0.25">
      <c r="A581" t="s">
        <v>378</v>
      </c>
      <c r="B581" s="2">
        <v>45983</v>
      </c>
      <c r="C581" t="s">
        <v>124</v>
      </c>
      <c r="D581" t="s">
        <v>16</v>
      </c>
      <c r="E581" t="s">
        <v>71</v>
      </c>
      <c r="F581" t="s">
        <v>18</v>
      </c>
      <c r="G581" t="s">
        <v>43</v>
      </c>
      <c r="H581" t="s">
        <v>44</v>
      </c>
      <c r="I581" s="5">
        <v>2017.87</v>
      </c>
      <c r="J581" s="8">
        <v>4</v>
      </c>
      <c r="K581" s="5">
        <v>1014.58</v>
      </c>
      <c r="L581" t="s">
        <v>21</v>
      </c>
      <c r="M581">
        <v>2025</v>
      </c>
      <c r="N581">
        <f t="shared" si="9"/>
        <v>11</v>
      </c>
    </row>
    <row r="582" spans="1:14" x14ac:dyDescent="0.25">
      <c r="A582" t="s">
        <v>578</v>
      </c>
      <c r="B582" s="2">
        <v>45984</v>
      </c>
      <c r="C582" t="s">
        <v>92</v>
      </c>
      <c r="D582" t="s">
        <v>125</v>
      </c>
      <c r="E582" t="s">
        <v>141</v>
      </c>
      <c r="F582" t="s">
        <v>18</v>
      </c>
      <c r="G582" t="s">
        <v>32</v>
      </c>
      <c r="H582" t="s">
        <v>147</v>
      </c>
      <c r="I582" s="5">
        <v>1558.98</v>
      </c>
      <c r="J582" s="8">
        <v>7</v>
      </c>
      <c r="K582" s="5">
        <v>669.14</v>
      </c>
      <c r="L582" t="s">
        <v>21</v>
      </c>
      <c r="M582">
        <v>2025</v>
      </c>
      <c r="N582">
        <f t="shared" si="9"/>
        <v>11</v>
      </c>
    </row>
    <row r="583" spans="1:14" x14ac:dyDescent="0.25">
      <c r="A583" t="s">
        <v>579</v>
      </c>
      <c r="B583" s="2">
        <v>45985</v>
      </c>
      <c r="C583" t="s">
        <v>65</v>
      </c>
      <c r="D583" t="s">
        <v>86</v>
      </c>
      <c r="E583" t="s">
        <v>87</v>
      </c>
      <c r="F583" t="s">
        <v>26</v>
      </c>
      <c r="G583" t="s">
        <v>98</v>
      </c>
      <c r="H583" t="s">
        <v>176</v>
      </c>
      <c r="I583" s="5">
        <v>401.53</v>
      </c>
      <c r="J583" s="8">
        <v>1</v>
      </c>
      <c r="K583" s="5">
        <v>164.88</v>
      </c>
      <c r="L583" t="s">
        <v>21</v>
      </c>
      <c r="M583">
        <v>2025</v>
      </c>
      <c r="N583">
        <f t="shared" si="9"/>
        <v>11</v>
      </c>
    </row>
    <row r="584" spans="1:14" x14ac:dyDescent="0.25">
      <c r="A584" t="s">
        <v>426</v>
      </c>
      <c r="B584" s="2">
        <v>45986</v>
      </c>
      <c r="C584" t="s">
        <v>198</v>
      </c>
      <c r="D584" t="s">
        <v>86</v>
      </c>
      <c r="E584" t="s">
        <v>87</v>
      </c>
      <c r="F584" t="s">
        <v>18</v>
      </c>
      <c r="G584" t="s">
        <v>19</v>
      </c>
      <c r="H584" t="s">
        <v>20</v>
      </c>
      <c r="I584" s="5">
        <v>1002.76</v>
      </c>
      <c r="J584" s="8">
        <v>3</v>
      </c>
      <c r="K584" s="5">
        <v>284.37</v>
      </c>
      <c r="L584" t="s">
        <v>21</v>
      </c>
      <c r="M584">
        <v>2025</v>
      </c>
      <c r="N584">
        <f t="shared" si="9"/>
        <v>11</v>
      </c>
    </row>
    <row r="585" spans="1:14" x14ac:dyDescent="0.25">
      <c r="A585" t="s">
        <v>362</v>
      </c>
      <c r="B585" s="2">
        <v>45990</v>
      </c>
      <c r="C585" t="s">
        <v>160</v>
      </c>
      <c r="D585" t="s">
        <v>24</v>
      </c>
      <c r="E585" t="s">
        <v>25</v>
      </c>
      <c r="F585" t="s">
        <v>48</v>
      </c>
      <c r="G585" t="s">
        <v>151</v>
      </c>
      <c r="H585" t="s">
        <v>174</v>
      </c>
      <c r="I585" s="5">
        <v>256.92</v>
      </c>
      <c r="J585" s="8">
        <v>4</v>
      </c>
      <c r="K585" s="5">
        <v>58.76</v>
      </c>
      <c r="L585" t="s">
        <v>38</v>
      </c>
      <c r="M585">
        <v>2025</v>
      </c>
      <c r="N585">
        <f t="shared" si="9"/>
        <v>12</v>
      </c>
    </row>
    <row r="586" spans="1:14" x14ac:dyDescent="0.25">
      <c r="A586" t="s">
        <v>600</v>
      </c>
      <c r="B586" s="2">
        <v>45993</v>
      </c>
      <c r="C586" t="s">
        <v>160</v>
      </c>
      <c r="D586" t="s">
        <v>41</v>
      </c>
      <c r="E586" t="s">
        <v>42</v>
      </c>
      <c r="F586" t="s">
        <v>48</v>
      </c>
      <c r="G586" t="s">
        <v>94</v>
      </c>
      <c r="H586" t="s">
        <v>95</v>
      </c>
      <c r="I586" s="5">
        <v>975.18</v>
      </c>
      <c r="J586" s="8">
        <v>2</v>
      </c>
      <c r="K586" s="5">
        <v>262.08999999999997</v>
      </c>
      <c r="L586" t="s">
        <v>21</v>
      </c>
      <c r="M586">
        <v>2025</v>
      </c>
      <c r="N586">
        <f t="shared" si="9"/>
        <v>12</v>
      </c>
    </row>
    <row r="587" spans="1:14" x14ac:dyDescent="0.25">
      <c r="A587" t="s">
        <v>342</v>
      </c>
      <c r="B587" s="2">
        <v>45994</v>
      </c>
      <c r="C587" t="s">
        <v>111</v>
      </c>
      <c r="D587" t="s">
        <v>66</v>
      </c>
      <c r="E587" t="s">
        <v>271</v>
      </c>
      <c r="F587" t="s">
        <v>48</v>
      </c>
      <c r="G587" t="s">
        <v>49</v>
      </c>
      <c r="H587" t="s">
        <v>158</v>
      </c>
      <c r="I587" s="5">
        <v>2276.81</v>
      </c>
      <c r="J587" s="8">
        <v>4</v>
      </c>
      <c r="K587" s="5">
        <v>921.81</v>
      </c>
      <c r="L587" t="s">
        <v>38</v>
      </c>
      <c r="M587">
        <v>2025</v>
      </c>
      <c r="N587">
        <f t="shared" si="9"/>
        <v>12</v>
      </c>
    </row>
    <row r="588" spans="1:14" x14ac:dyDescent="0.25">
      <c r="A588" t="s">
        <v>494</v>
      </c>
      <c r="B588" s="2">
        <v>45997</v>
      </c>
      <c r="C588" t="s">
        <v>23</v>
      </c>
      <c r="D588" t="s">
        <v>52</v>
      </c>
      <c r="E588" t="s">
        <v>53</v>
      </c>
      <c r="F588" t="s">
        <v>26</v>
      </c>
      <c r="G588" t="s">
        <v>89</v>
      </c>
      <c r="H588" t="s">
        <v>90</v>
      </c>
      <c r="I588" s="5">
        <v>1903.38</v>
      </c>
      <c r="J588" s="8">
        <v>4</v>
      </c>
      <c r="K588" s="5">
        <v>643.12</v>
      </c>
      <c r="L588" t="s">
        <v>29</v>
      </c>
      <c r="M588">
        <v>2025</v>
      </c>
      <c r="N588">
        <f t="shared" si="9"/>
        <v>12</v>
      </c>
    </row>
    <row r="589" spans="1:14" x14ac:dyDescent="0.25">
      <c r="A589" t="s">
        <v>571</v>
      </c>
      <c r="B589" s="2">
        <v>45999</v>
      </c>
      <c r="C589" t="s">
        <v>23</v>
      </c>
      <c r="D589" t="s">
        <v>41</v>
      </c>
      <c r="E589" t="s">
        <v>58</v>
      </c>
      <c r="F589" t="s">
        <v>18</v>
      </c>
      <c r="G589" t="s">
        <v>54</v>
      </c>
      <c r="H589" t="s">
        <v>108</v>
      </c>
      <c r="I589" s="5">
        <v>989.61</v>
      </c>
      <c r="J589" s="8">
        <v>5</v>
      </c>
      <c r="K589" s="5">
        <v>295.25</v>
      </c>
      <c r="L589" t="s">
        <v>21</v>
      </c>
      <c r="M589">
        <v>2025</v>
      </c>
      <c r="N589">
        <f t="shared" si="9"/>
        <v>12</v>
      </c>
    </row>
    <row r="590" spans="1:14" x14ac:dyDescent="0.25">
      <c r="A590" t="s">
        <v>232</v>
      </c>
      <c r="B590" s="2">
        <v>46000</v>
      </c>
      <c r="C590" t="s">
        <v>124</v>
      </c>
      <c r="D590" t="s">
        <v>16</v>
      </c>
      <c r="E590" t="s">
        <v>190</v>
      </c>
      <c r="F590" t="s">
        <v>26</v>
      </c>
      <c r="G590" t="s">
        <v>27</v>
      </c>
      <c r="H590" t="s">
        <v>162</v>
      </c>
      <c r="I590" s="5">
        <v>5476.2</v>
      </c>
      <c r="J590" s="8">
        <v>7</v>
      </c>
      <c r="K590" s="5">
        <v>2950.11</v>
      </c>
      <c r="L590" t="s">
        <v>21</v>
      </c>
      <c r="M590">
        <v>2025</v>
      </c>
      <c r="N590">
        <f t="shared" si="9"/>
        <v>12</v>
      </c>
    </row>
    <row r="591" spans="1:14" x14ac:dyDescent="0.25">
      <c r="A591" t="s">
        <v>524</v>
      </c>
      <c r="B591" s="2">
        <v>46000</v>
      </c>
      <c r="C591" t="s">
        <v>114</v>
      </c>
      <c r="D591" t="s">
        <v>16</v>
      </c>
      <c r="E591" t="s">
        <v>190</v>
      </c>
      <c r="F591" t="s">
        <v>18</v>
      </c>
      <c r="G591" t="s">
        <v>43</v>
      </c>
      <c r="H591" t="s">
        <v>44</v>
      </c>
      <c r="I591" s="5">
        <v>3444.9</v>
      </c>
      <c r="J591" s="8">
        <v>7</v>
      </c>
      <c r="K591" s="5">
        <v>1134.68</v>
      </c>
      <c r="L591" t="s">
        <v>21</v>
      </c>
      <c r="M591">
        <v>2025</v>
      </c>
      <c r="N591">
        <f t="shared" si="9"/>
        <v>12</v>
      </c>
    </row>
    <row r="592" spans="1:14" x14ac:dyDescent="0.25">
      <c r="A592" t="s">
        <v>556</v>
      </c>
      <c r="B592" s="2">
        <v>46000</v>
      </c>
      <c r="C592" t="s">
        <v>31</v>
      </c>
      <c r="D592" t="s">
        <v>41</v>
      </c>
      <c r="E592" t="s">
        <v>42</v>
      </c>
      <c r="F592" t="s">
        <v>18</v>
      </c>
      <c r="G592" t="s">
        <v>32</v>
      </c>
      <c r="H592" t="s">
        <v>147</v>
      </c>
      <c r="I592" s="5">
        <v>932.53</v>
      </c>
      <c r="J592" s="8">
        <v>5</v>
      </c>
      <c r="K592" s="5">
        <v>327.62</v>
      </c>
      <c r="L592" t="s">
        <v>21</v>
      </c>
      <c r="M592">
        <v>2025</v>
      </c>
      <c r="N592">
        <f t="shared" si="9"/>
        <v>12</v>
      </c>
    </row>
    <row r="593" spans="1:14" x14ac:dyDescent="0.25">
      <c r="A593" t="s">
        <v>577</v>
      </c>
      <c r="B593" s="2">
        <v>46002</v>
      </c>
      <c r="C593" t="s">
        <v>84</v>
      </c>
      <c r="D593" t="s">
        <v>52</v>
      </c>
      <c r="E593" t="s">
        <v>53</v>
      </c>
      <c r="F593" t="s">
        <v>26</v>
      </c>
      <c r="G593" t="s">
        <v>98</v>
      </c>
      <c r="H593" t="s">
        <v>176</v>
      </c>
      <c r="I593" s="5">
        <v>4540.7299999999996</v>
      </c>
      <c r="J593" s="8">
        <v>7</v>
      </c>
      <c r="K593" s="5">
        <v>2486.67</v>
      </c>
      <c r="L593" t="s">
        <v>21</v>
      </c>
      <c r="M593">
        <v>2025</v>
      </c>
      <c r="N593">
        <f t="shared" si="9"/>
        <v>12</v>
      </c>
    </row>
    <row r="594" spans="1:14" x14ac:dyDescent="0.25">
      <c r="A594" t="s">
        <v>252</v>
      </c>
      <c r="B594" s="2">
        <v>46004</v>
      </c>
      <c r="C594" t="s">
        <v>84</v>
      </c>
      <c r="D594" t="s">
        <v>66</v>
      </c>
      <c r="E594" t="s">
        <v>67</v>
      </c>
      <c r="F594" t="s">
        <v>18</v>
      </c>
      <c r="G594" t="s">
        <v>43</v>
      </c>
      <c r="H594" t="s">
        <v>76</v>
      </c>
      <c r="I594" s="5">
        <v>1236.05</v>
      </c>
      <c r="J594" s="8">
        <v>2</v>
      </c>
      <c r="K594" s="5">
        <v>463.29</v>
      </c>
      <c r="L594" t="s">
        <v>29</v>
      </c>
      <c r="M594">
        <v>2025</v>
      </c>
      <c r="N594">
        <f t="shared" si="9"/>
        <v>12</v>
      </c>
    </row>
    <row r="595" spans="1:14" x14ac:dyDescent="0.25">
      <c r="A595" t="s">
        <v>241</v>
      </c>
      <c r="B595" s="2">
        <v>46005</v>
      </c>
      <c r="C595" t="s">
        <v>23</v>
      </c>
      <c r="D595" t="s">
        <v>86</v>
      </c>
      <c r="E595" t="s">
        <v>116</v>
      </c>
      <c r="F595" t="s">
        <v>48</v>
      </c>
      <c r="G595" t="s">
        <v>130</v>
      </c>
      <c r="H595" t="s">
        <v>131</v>
      </c>
      <c r="I595" s="5">
        <v>718.27</v>
      </c>
      <c r="J595" s="8">
        <v>3</v>
      </c>
      <c r="K595" s="5">
        <v>139.22</v>
      </c>
      <c r="L595" t="s">
        <v>21</v>
      </c>
      <c r="M595">
        <v>2025</v>
      </c>
      <c r="N595">
        <f t="shared" si="9"/>
        <v>12</v>
      </c>
    </row>
    <row r="596" spans="1:14" x14ac:dyDescent="0.25">
      <c r="A596" t="s">
        <v>619</v>
      </c>
      <c r="B596" s="2">
        <v>46005</v>
      </c>
      <c r="C596" t="s">
        <v>65</v>
      </c>
      <c r="D596" t="s">
        <v>16</v>
      </c>
      <c r="E596" t="s">
        <v>71</v>
      </c>
      <c r="F596" t="s">
        <v>48</v>
      </c>
      <c r="G596" t="s">
        <v>130</v>
      </c>
      <c r="H596" t="s">
        <v>139</v>
      </c>
      <c r="I596" s="5">
        <v>1967.3</v>
      </c>
      <c r="J596" s="8">
        <v>3</v>
      </c>
      <c r="K596" s="5">
        <v>1005.64</v>
      </c>
      <c r="L596" t="s">
        <v>21</v>
      </c>
      <c r="M596">
        <v>2025</v>
      </c>
      <c r="N596">
        <f t="shared" si="9"/>
        <v>12</v>
      </c>
    </row>
    <row r="597" spans="1:14" x14ac:dyDescent="0.25">
      <c r="A597" t="s">
        <v>324</v>
      </c>
      <c r="B597" s="2">
        <v>46008</v>
      </c>
      <c r="C597" t="s">
        <v>40</v>
      </c>
      <c r="D597" t="s">
        <v>66</v>
      </c>
      <c r="E597" t="s">
        <v>180</v>
      </c>
      <c r="F597" t="s">
        <v>48</v>
      </c>
      <c r="G597" t="s">
        <v>94</v>
      </c>
      <c r="H597" t="s">
        <v>104</v>
      </c>
      <c r="I597" s="5">
        <v>254.47</v>
      </c>
      <c r="J597" s="8">
        <v>2</v>
      </c>
      <c r="K597" s="5">
        <v>69.38</v>
      </c>
      <c r="L597" t="s">
        <v>21</v>
      </c>
      <c r="M597">
        <v>2025</v>
      </c>
      <c r="N597">
        <f t="shared" si="9"/>
        <v>12</v>
      </c>
    </row>
    <row r="598" spans="1:14" x14ac:dyDescent="0.25">
      <c r="A598" t="s">
        <v>668</v>
      </c>
      <c r="B598" s="2">
        <v>46012</v>
      </c>
      <c r="C598" t="s">
        <v>65</v>
      </c>
      <c r="D598" t="s">
        <v>52</v>
      </c>
      <c r="E598" t="s">
        <v>144</v>
      </c>
      <c r="F598" t="s">
        <v>48</v>
      </c>
      <c r="G598" t="s">
        <v>130</v>
      </c>
      <c r="H598" t="s">
        <v>131</v>
      </c>
      <c r="I598" s="5">
        <v>1841.4</v>
      </c>
      <c r="J598" s="8">
        <v>8</v>
      </c>
      <c r="K598" s="5">
        <v>366.48</v>
      </c>
      <c r="L598" t="s">
        <v>29</v>
      </c>
      <c r="M598">
        <v>2025</v>
      </c>
      <c r="N598">
        <f t="shared" si="9"/>
        <v>12</v>
      </c>
    </row>
    <row r="599" spans="1:14" x14ac:dyDescent="0.25">
      <c r="A599" t="s">
        <v>219</v>
      </c>
      <c r="B599" s="2">
        <v>46013</v>
      </c>
      <c r="C599" t="s">
        <v>65</v>
      </c>
      <c r="D599" t="s">
        <v>16</v>
      </c>
      <c r="E599" t="s">
        <v>17</v>
      </c>
      <c r="F599" t="s">
        <v>48</v>
      </c>
      <c r="G599" t="s">
        <v>68</v>
      </c>
      <c r="H599" t="s">
        <v>202</v>
      </c>
      <c r="I599" s="5">
        <v>6104.44</v>
      </c>
      <c r="J599" s="8">
        <v>7</v>
      </c>
      <c r="K599" s="5">
        <v>1256.8699999999999</v>
      </c>
      <c r="L599" t="s">
        <v>21</v>
      </c>
      <c r="M599">
        <v>2025</v>
      </c>
      <c r="N599">
        <f t="shared" si="9"/>
        <v>12</v>
      </c>
    </row>
    <row r="600" spans="1:14" x14ac:dyDescent="0.25">
      <c r="A600" t="s">
        <v>548</v>
      </c>
      <c r="B600" s="2">
        <v>46015</v>
      </c>
      <c r="C600" t="s">
        <v>92</v>
      </c>
      <c r="D600" t="s">
        <v>86</v>
      </c>
      <c r="E600" t="s">
        <v>118</v>
      </c>
      <c r="F600" t="s">
        <v>26</v>
      </c>
      <c r="G600" t="s">
        <v>89</v>
      </c>
      <c r="H600" t="s">
        <v>90</v>
      </c>
      <c r="I600" s="5">
        <v>2688.15</v>
      </c>
      <c r="J600" s="8">
        <v>4</v>
      </c>
      <c r="K600" s="5">
        <v>1249.1500000000001</v>
      </c>
      <c r="L600" t="s">
        <v>38</v>
      </c>
      <c r="M600">
        <v>2025</v>
      </c>
      <c r="N600">
        <f t="shared" si="9"/>
        <v>12</v>
      </c>
    </row>
    <row r="601" spans="1:14" x14ac:dyDescent="0.25">
      <c r="A601" t="s">
        <v>358</v>
      </c>
      <c r="B601" s="2">
        <v>46021</v>
      </c>
      <c r="C601" t="s">
        <v>92</v>
      </c>
      <c r="D601" t="s">
        <v>16</v>
      </c>
      <c r="E601" t="s">
        <v>71</v>
      </c>
      <c r="F601" t="s">
        <v>48</v>
      </c>
      <c r="G601" t="s">
        <v>130</v>
      </c>
      <c r="H601" t="s">
        <v>131</v>
      </c>
      <c r="I601" s="5">
        <v>396.65</v>
      </c>
      <c r="J601" s="8">
        <v>2</v>
      </c>
      <c r="K601" s="5">
        <v>199.26</v>
      </c>
      <c r="L601" t="s">
        <v>38</v>
      </c>
      <c r="M601">
        <v>2025</v>
      </c>
      <c r="N601">
        <f t="shared" si="9"/>
        <v>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B5F7-DFFD-43BC-929D-B43D180CB342}">
  <dimension ref="A1:Y61"/>
  <sheetViews>
    <sheetView tabSelected="1" topLeftCell="A2" zoomScale="62" workbookViewId="0">
      <selection activeCell="U19" sqref="U19"/>
    </sheetView>
  </sheetViews>
  <sheetFormatPr defaultRowHeight="15" x14ac:dyDescent="0.25"/>
  <cols>
    <col min="2" max="2" width="14.28515625" customWidth="1"/>
    <col min="3" max="3" width="8.7109375" customWidth="1"/>
    <col min="4" max="4" width="6.7109375" customWidth="1"/>
    <col min="5" max="5" width="10.85546875" customWidth="1"/>
    <col min="6" max="6" width="14.5703125" customWidth="1"/>
    <col min="7" max="7" width="9.28515625" customWidth="1"/>
    <col min="8" max="8" width="14" customWidth="1"/>
    <col min="22" max="22" width="18.85546875" bestFit="1" customWidth="1"/>
    <col min="23" max="23" width="17" bestFit="1" customWidth="1"/>
    <col min="24" max="24" width="11.85546875" bestFit="1" customWidth="1"/>
  </cols>
  <sheetData>
    <row r="1" spans="1:25" ht="15" customHeight="1" x14ac:dyDescent="0.25">
      <c r="A1" s="31" t="s">
        <v>730</v>
      </c>
      <c r="B1" s="31"/>
      <c r="C1" s="31"/>
      <c r="D1" s="31"/>
      <c r="E1" s="31"/>
      <c r="F1" s="31"/>
      <c r="G1" s="31"/>
      <c r="H1" s="31"/>
      <c r="I1" s="31"/>
      <c r="J1" s="31"/>
      <c r="K1" s="31"/>
      <c r="L1" s="31"/>
      <c r="M1" s="31"/>
      <c r="N1" s="31"/>
      <c r="O1" s="31"/>
      <c r="P1" s="31"/>
      <c r="Q1" s="31"/>
      <c r="R1" s="31"/>
      <c r="S1" s="19"/>
      <c r="T1" s="19"/>
    </row>
    <row r="2" spans="1:25" ht="18.75" customHeight="1" x14ac:dyDescent="0.25">
      <c r="A2" s="31"/>
      <c r="B2" s="31"/>
      <c r="C2" s="31"/>
      <c r="D2" s="31"/>
      <c r="E2" s="31"/>
      <c r="F2" s="31"/>
      <c r="G2" s="31"/>
      <c r="H2" s="31"/>
      <c r="I2" s="31"/>
      <c r="J2" s="31"/>
      <c r="K2" s="31"/>
      <c r="L2" s="31"/>
      <c r="M2" s="31"/>
      <c r="N2" s="31"/>
      <c r="O2" s="31"/>
      <c r="P2" s="31"/>
      <c r="Q2" s="31"/>
      <c r="R2" s="31"/>
      <c r="S2" s="19"/>
      <c r="T2" s="19"/>
    </row>
    <row r="3" spans="1:25" ht="18.75" x14ac:dyDescent="0.25">
      <c r="A3" s="9"/>
      <c r="B3" s="9"/>
      <c r="C3" s="9"/>
      <c r="D3" s="9"/>
      <c r="E3" s="9"/>
      <c r="F3" s="9"/>
      <c r="G3" s="9"/>
      <c r="H3" s="9"/>
      <c r="I3" s="9"/>
      <c r="J3" s="9"/>
      <c r="K3" s="9"/>
      <c r="L3" s="9"/>
      <c r="M3" s="12"/>
      <c r="N3" s="26"/>
      <c r="O3" s="26"/>
      <c r="P3" s="26"/>
      <c r="Q3" s="16"/>
      <c r="R3" s="9"/>
      <c r="S3" s="9"/>
      <c r="T3" s="9"/>
    </row>
    <row r="4" spans="1:25" x14ac:dyDescent="0.25">
      <c r="A4" s="9"/>
      <c r="B4" s="9"/>
      <c r="C4" s="9"/>
      <c r="D4" s="9"/>
      <c r="E4" s="9"/>
      <c r="F4" s="9"/>
      <c r="G4" s="11"/>
      <c r="H4" s="9"/>
      <c r="I4" s="9"/>
      <c r="J4" s="9"/>
      <c r="K4" s="9"/>
      <c r="L4" s="9"/>
      <c r="M4" s="9"/>
      <c r="N4" s="9"/>
      <c r="O4" s="28"/>
      <c r="P4" s="28"/>
      <c r="Q4" s="28"/>
      <c r="R4" s="9"/>
      <c r="S4" s="9"/>
      <c r="T4" s="9"/>
    </row>
    <row r="5" spans="1:25" ht="18.75" x14ac:dyDescent="0.25">
      <c r="A5" s="23" t="s">
        <v>731</v>
      </c>
      <c r="B5" s="23"/>
      <c r="C5" s="13"/>
      <c r="D5" s="23" t="s">
        <v>733</v>
      </c>
      <c r="E5" s="23"/>
      <c r="F5" s="23"/>
      <c r="G5" s="11"/>
      <c r="H5" s="23" t="s">
        <v>732</v>
      </c>
      <c r="I5" s="23"/>
      <c r="J5" s="23"/>
      <c r="K5" s="9"/>
      <c r="L5" s="23" t="s">
        <v>734</v>
      </c>
      <c r="M5" s="23"/>
      <c r="N5" s="23"/>
      <c r="O5" s="10"/>
      <c r="P5" s="23" t="s">
        <v>733</v>
      </c>
      <c r="Q5" s="23"/>
      <c r="R5" s="23"/>
      <c r="S5" s="16"/>
      <c r="T5" s="9"/>
      <c r="U5" s="35"/>
      <c r="V5" s="35"/>
    </row>
    <row r="6" spans="1:25" ht="18.75" x14ac:dyDescent="0.3">
      <c r="A6" s="24">
        <f>SUM(Table2[[#All],[Sales]])</f>
        <v>1193832.0499999986</v>
      </c>
      <c r="B6" s="24"/>
      <c r="C6" s="16"/>
      <c r="D6" s="25">
        <f>SUM(Table2[Profit])</f>
        <v>432251.41000000073</v>
      </c>
      <c r="E6" s="25"/>
      <c r="F6" s="25"/>
      <c r="G6" s="9"/>
      <c r="H6" s="27">
        <f>COUNTA(SalesData!A2:A601)</f>
        <v>600</v>
      </c>
      <c r="I6" s="27"/>
      <c r="J6" s="27"/>
      <c r="K6" s="17"/>
      <c r="L6" s="29">
        <f>COUNTA(_xlfn.UNIQUE(Table2[Customer Name]))</f>
        <v>20</v>
      </c>
      <c r="M6" s="29"/>
      <c r="N6" s="29"/>
      <c r="O6" s="18"/>
      <c r="P6" s="25">
        <f>SUM(Table2[Profit])</f>
        <v>432251.41000000073</v>
      </c>
      <c r="Q6" s="25"/>
      <c r="R6" s="25"/>
      <c r="S6" s="32"/>
      <c r="T6" s="9"/>
      <c r="U6" s="39"/>
      <c r="V6" s="39"/>
      <c r="W6" s="34"/>
      <c r="X6" s="34"/>
      <c r="Y6" s="34"/>
    </row>
    <row r="7" spans="1:25" ht="15.75" customHeight="1" x14ac:dyDescent="0.25">
      <c r="A7" s="9"/>
      <c r="B7" s="15"/>
      <c r="C7" s="15"/>
      <c r="D7" s="10"/>
      <c r="E7" s="9"/>
      <c r="F7" s="9"/>
      <c r="G7" s="16"/>
      <c r="H7" s="30"/>
      <c r="I7" s="30"/>
      <c r="J7" s="30"/>
      <c r="K7" s="12"/>
      <c r="L7" s="12"/>
      <c r="M7" s="12"/>
      <c r="N7" s="12"/>
      <c r="O7" s="11"/>
      <c r="P7" s="12"/>
      <c r="Q7" s="12"/>
      <c r="R7" s="12"/>
      <c r="S7" s="12"/>
      <c r="T7" s="9"/>
      <c r="W7" s="36"/>
      <c r="X7" s="36"/>
      <c r="Y7" s="36"/>
    </row>
    <row r="8" spans="1:25" ht="15" customHeight="1" x14ac:dyDescent="0.25">
      <c r="A8" s="9"/>
      <c r="B8" s="14"/>
      <c r="C8" s="14"/>
      <c r="D8" s="9"/>
      <c r="E8" s="9"/>
      <c r="F8" s="9"/>
      <c r="G8" s="9"/>
      <c r="H8" s="9"/>
      <c r="I8" s="9"/>
      <c r="J8" s="9"/>
      <c r="K8" s="9"/>
      <c r="L8" s="9"/>
      <c r="M8" s="9"/>
      <c r="N8" s="9"/>
      <c r="O8" s="9"/>
      <c r="P8" s="9"/>
      <c r="Q8" s="9"/>
      <c r="R8" s="9"/>
      <c r="S8" s="9"/>
      <c r="T8" s="9"/>
    </row>
    <row r="9" spans="1:25" ht="15.75" customHeight="1" x14ac:dyDescent="0.25">
      <c r="A9" s="9"/>
      <c r="B9" s="15"/>
      <c r="C9" s="14"/>
      <c r="D9" s="9"/>
      <c r="E9" s="9"/>
      <c r="F9" s="9"/>
      <c r="G9" s="9"/>
      <c r="H9" s="9"/>
      <c r="I9" s="9"/>
      <c r="J9" s="9"/>
      <c r="K9" s="9"/>
      <c r="L9" s="9"/>
      <c r="M9" s="9"/>
      <c r="N9" s="9"/>
      <c r="O9" s="9"/>
      <c r="P9" s="9"/>
      <c r="Q9" s="9"/>
      <c r="R9" s="9"/>
      <c r="S9" s="9"/>
      <c r="T9" s="9"/>
    </row>
    <row r="10" spans="1:25" ht="15" customHeight="1" x14ac:dyDescent="0.25">
      <c r="A10" s="9"/>
      <c r="B10" s="14"/>
      <c r="C10" s="14"/>
      <c r="D10" s="9"/>
      <c r="E10" s="9"/>
      <c r="F10" s="9"/>
      <c r="G10" s="11"/>
      <c r="H10" s="9"/>
      <c r="I10" s="9"/>
      <c r="J10" s="9"/>
      <c r="K10" s="9"/>
      <c r="L10" s="9"/>
      <c r="M10" s="9"/>
      <c r="N10" s="9"/>
      <c r="O10" s="9"/>
      <c r="P10" s="9"/>
      <c r="Q10" s="9"/>
      <c r="R10" s="9"/>
      <c r="S10" s="9"/>
      <c r="T10" s="9"/>
    </row>
    <row r="11" spans="1:25" x14ac:dyDescent="0.25">
      <c r="A11" s="9"/>
      <c r="B11" s="9"/>
      <c r="C11" s="9"/>
      <c r="D11" s="9"/>
      <c r="E11" s="9"/>
      <c r="F11" s="9"/>
      <c r="G11" s="9"/>
      <c r="H11" s="9"/>
      <c r="I11" s="9"/>
      <c r="J11" s="9"/>
      <c r="K11" s="9"/>
      <c r="L11" s="9"/>
      <c r="M11" s="9"/>
      <c r="N11" s="9"/>
      <c r="O11" s="9"/>
      <c r="P11" s="9"/>
      <c r="Q11" s="9"/>
      <c r="R11" s="9"/>
      <c r="S11" s="9"/>
      <c r="T11" s="9"/>
    </row>
    <row r="12" spans="1:25" x14ac:dyDescent="0.25">
      <c r="A12" s="9"/>
      <c r="B12" s="9"/>
      <c r="C12" s="9"/>
      <c r="D12" s="9"/>
      <c r="E12" s="9"/>
      <c r="F12" s="9"/>
      <c r="G12" s="9"/>
      <c r="H12" s="9"/>
      <c r="I12" s="9"/>
      <c r="J12" s="9"/>
      <c r="K12" s="9"/>
      <c r="L12" s="9"/>
      <c r="M12" s="9"/>
      <c r="N12" s="9"/>
      <c r="O12" s="9"/>
      <c r="P12" s="9"/>
      <c r="Q12" s="9"/>
      <c r="R12" s="9"/>
      <c r="S12" s="9"/>
      <c r="T12" s="9"/>
      <c r="X12" s="5"/>
    </row>
    <row r="13" spans="1:25" x14ac:dyDescent="0.25">
      <c r="A13" s="9"/>
      <c r="B13" s="9"/>
      <c r="C13" s="9"/>
      <c r="D13" s="9"/>
      <c r="E13" s="9"/>
      <c r="F13" s="9"/>
      <c r="G13" s="9"/>
      <c r="H13" s="9"/>
      <c r="I13" s="9"/>
      <c r="J13" s="9"/>
      <c r="K13" s="9"/>
      <c r="L13" s="9"/>
      <c r="M13" s="9"/>
      <c r="N13" s="9"/>
      <c r="O13" s="9"/>
      <c r="P13" s="9"/>
      <c r="Q13" s="9"/>
      <c r="R13" s="9"/>
      <c r="S13" s="9"/>
      <c r="T13" s="9"/>
    </row>
    <row r="14" spans="1:25" ht="18.75" x14ac:dyDescent="0.25">
      <c r="A14" s="9"/>
      <c r="B14" s="9"/>
      <c r="C14" s="9"/>
      <c r="D14" s="9"/>
      <c r="E14" s="9"/>
      <c r="F14" s="9"/>
      <c r="G14" s="9"/>
      <c r="H14" s="9"/>
      <c r="I14" s="9"/>
      <c r="J14" s="9"/>
      <c r="K14" s="9"/>
      <c r="L14" s="9"/>
      <c r="M14" s="9"/>
      <c r="N14" s="9"/>
      <c r="O14" s="9"/>
      <c r="P14" s="9"/>
      <c r="Q14" s="9"/>
      <c r="R14" s="9"/>
      <c r="S14" s="9"/>
      <c r="T14" s="9"/>
      <c r="X14" s="33"/>
      <c r="Y14" s="33"/>
    </row>
    <row r="15" spans="1:25" ht="15.75" x14ac:dyDescent="0.25">
      <c r="A15" s="9"/>
      <c r="B15" s="9"/>
      <c r="C15" s="9"/>
      <c r="D15" s="9"/>
      <c r="E15" s="9"/>
      <c r="F15" s="9"/>
      <c r="G15" s="9"/>
      <c r="H15" s="9"/>
      <c r="I15" s="9"/>
      <c r="J15" s="9"/>
      <c r="K15" s="9"/>
      <c r="L15" s="9"/>
      <c r="M15" s="9"/>
      <c r="N15" s="9"/>
      <c r="O15" s="9"/>
      <c r="P15" s="9"/>
      <c r="Q15" s="9"/>
      <c r="R15" s="9"/>
      <c r="S15" s="9"/>
      <c r="T15" s="9"/>
      <c r="X15" s="38"/>
      <c r="Y15" s="38"/>
    </row>
    <row r="16" spans="1:25" x14ac:dyDescent="0.25">
      <c r="A16" s="9"/>
      <c r="B16" s="9"/>
      <c r="C16" s="9"/>
      <c r="D16" s="9"/>
      <c r="E16" s="9"/>
      <c r="F16" s="9"/>
      <c r="G16" s="9"/>
      <c r="H16" s="9"/>
      <c r="I16" s="9"/>
      <c r="J16" s="9"/>
      <c r="K16" s="9"/>
      <c r="L16" s="9"/>
      <c r="M16" s="9"/>
      <c r="N16" s="9"/>
      <c r="O16" s="9"/>
      <c r="P16" s="9"/>
      <c r="Q16" s="9"/>
      <c r="R16" s="9"/>
      <c r="S16" s="9"/>
      <c r="T16" s="9"/>
    </row>
    <row r="17" spans="1:25" x14ac:dyDescent="0.25">
      <c r="A17" s="9"/>
      <c r="B17" s="9"/>
      <c r="C17" s="9"/>
      <c r="D17" s="9"/>
      <c r="E17" s="9"/>
      <c r="F17" s="9"/>
      <c r="G17" s="9"/>
      <c r="H17" s="9"/>
      <c r="I17" s="9"/>
      <c r="J17" s="9"/>
      <c r="K17" s="9"/>
      <c r="L17" s="9"/>
      <c r="M17" s="9"/>
      <c r="N17" s="9"/>
      <c r="O17" s="9"/>
      <c r="P17" s="9"/>
      <c r="Q17" s="9"/>
      <c r="R17" s="9"/>
      <c r="S17" s="9"/>
      <c r="T17" s="9"/>
    </row>
    <row r="18" spans="1:25" x14ac:dyDescent="0.25">
      <c r="A18" s="9"/>
      <c r="B18" s="9"/>
      <c r="C18" s="9"/>
      <c r="D18" s="9"/>
      <c r="E18" s="9"/>
      <c r="F18" s="9"/>
      <c r="G18" s="9"/>
      <c r="H18" s="9"/>
      <c r="I18" s="9"/>
      <c r="J18" s="9"/>
      <c r="K18" s="9"/>
      <c r="L18" s="9"/>
      <c r="M18" s="9"/>
      <c r="N18" s="9"/>
      <c r="O18" s="9"/>
      <c r="P18" s="9"/>
      <c r="Q18" s="9"/>
      <c r="R18" s="9"/>
      <c r="S18" s="9"/>
      <c r="T18" s="9"/>
    </row>
    <row r="19" spans="1:25" x14ac:dyDescent="0.25">
      <c r="A19" s="9"/>
      <c r="B19" s="9"/>
      <c r="C19" s="9"/>
      <c r="D19" s="9"/>
      <c r="E19" s="9"/>
      <c r="F19" s="9"/>
      <c r="G19" s="9"/>
      <c r="H19" s="9"/>
      <c r="I19" s="9"/>
      <c r="J19" s="9"/>
      <c r="K19" s="9"/>
      <c r="L19" s="9"/>
      <c r="M19" s="9"/>
      <c r="N19" s="9"/>
      <c r="O19" s="9"/>
      <c r="P19" s="9"/>
      <c r="Q19" s="9"/>
      <c r="R19" s="9"/>
      <c r="S19" s="9"/>
      <c r="T19" s="9"/>
    </row>
    <row r="20" spans="1:25" x14ac:dyDescent="0.25">
      <c r="A20" s="9"/>
      <c r="B20" s="9"/>
      <c r="C20" s="9"/>
      <c r="D20" s="9"/>
      <c r="E20" s="9"/>
      <c r="F20" s="9"/>
      <c r="G20" s="9"/>
      <c r="H20" s="9"/>
      <c r="I20" s="9"/>
      <c r="J20" s="9"/>
      <c r="K20" s="9"/>
      <c r="L20" s="9"/>
      <c r="M20" s="9"/>
      <c r="N20" s="9"/>
      <c r="O20" s="9"/>
      <c r="P20" s="9"/>
      <c r="Q20" s="9"/>
      <c r="R20" s="9"/>
      <c r="S20" s="9"/>
      <c r="T20" s="9"/>
    </row>
    <row r="21" spans="1:25" ht="18.75" x14ac:dyDescent="0.25">
      <c r="A21" s="9"/>
      <c r="B21" s="9"/>
      <c r="C21" s="9"/>
      <c r="D21" s="9"/>
      <c r="E21" s="9"/>
      <c r="F21" s="9"/>
      <c r="G21" s="9"/>
      <c r="H21" s="9"/>
      <c r="I21" s="9"/>
      <c r="J21" s="9"/>
      <c r="K21" s="9"/>
      <c r="L21" s="9"/>
      <c r="M21" s="9"/>
      <c r="N21" s="9"/>
      <c r="O21" s="9"/>
      <c r="P21" s="9"/>
      <c r="Q21" s="9"/>
      <c r="R21" s="9"/>
      <c r="S21" s="9"/>
      <c r="T21" s="9"/>
      <c r="V21" s="33"/>
      <c r="W21" s="33"/>
      <c r="X21" s="33"/>
    </row>
    <row r="22" spans="1:25" x14ac:dyDescent="0.25">
      <c r="A22" s="9"/>
      <c r="B22" s="9"/>
      <c r="C22" s="9"/>
      <c r="D22" s="9"/>
      <c r="E22" s="9"/>
      <c r="F22" s="9"/>
      <c r="G22" s="9"/>
      <c r="H22" s="9"/>
      <c r="I22" s="9"/>
      <c r="J22" s="9"/>
      <c r="K22" s="9"/>
      <c r="L22" s="9"/>
      <c r="M22" s="9"/>
      <c r="N22" s="9"/>
      <c r="O22" s="9"/>
      <c r="P22" s="9"/>
      <c r="Q22" s="9"/>
      <c r="R22" s="9"/>
      <c r="S22" s="9"/>
      <c r="T22" s="9"/>
      <c r="V22" s="37"/>
      <c r="W22" s="37"/>
      <c r="X22" s="37"/>
    </row>
    <row r="23" spans="1:25" x14ac:dyDescent="0.25">
      <c r="A23" s="9"/>
      <c r="B23" s="9"/>
      <c r="C23" s="9"/>
      <c r="D23" s="9"/>
      <c r="E23" s="9"/>
      <c r="F23" s="9"/>
      <c r="G23" s="9"/>
      <c r="H23" s="9"/>
      <c r="I23" s="9"/>
      <c r="J23" s="9"/>
      <c r="K23" s="9"/>
      <c r="L23" s="9"/>
      <c r="M23" s="9"/>
      <c r="N23" s="9"/>
      <c r="O23" s="9"/>
      <c r="P23" s="9"/>
      <c r="Q23" s="9"/>
      <c r="R23" s="9"/>
      <c r="S23" s="9"/>
      <c r="T23" s="9"/>
    </row>
    <row r="24" spans="1:25" x14ac:dyDescent="0.25">
      <c r="A24" s="9"/>
      <c r="B24" s="9"/>
      <c r="C24" s="9"/>
      <c r="D24" s="9"/>
      <c r="E24" s="9"/>
      <c r="F24" s="9"/>
      <c r="G24" s="9"/>
      <c r="H24" s="9"/>
      <c r="I24" s="9"/>
      <c r="J24" s="9"/>
      <c r="K24" s="9"/>
      <c r="L24" s="9"/>
      <c r="M24" s="9"/>
      <c r="N24" s="9"/>
      <c r="O24" s="9"/>
      <c r="P24" s="9"/>
      <c r="Q24" s="9"/>
      <c r="R24" s="9"/>
      <c r="S24" s="9"/>
      <c r="T24" s="9"/>
    </row>
    <row r="25" spans="1:25" ht="18.75" x14ac:dyDescent="0.25">
      <c r="A25" s="9"/>
      <c r="B25" s="9"/>
      <c r="C25" s="9"/>
      <c r="D25" s="9"/>
      <c r="E25" s="9"/>
      <c r="F25" s="9"/>
      <c r="G25" s="9"/>
      <c r="H25" s="9"/>
      <c r="I25" s="9"/>
      <c r="J25" s="9"/>
      <c r="K25" s="9"/>
      <c r="L25" s="9"/>
      <c r="M25" s="9"/>
      <c r="N25" s="9"/>
      <c r="O25" s="9"/>
      <c r="P25" s="9"/>
      <c r="Q25" s="9"/>
      <c r="R25" s="9"/>
      <c r="S25" s="9"/>
      <c r="T25" s="9"/>
      <c r="W25" s="33"/>
      <c r="X25" s="33"/>
      <c r="Y25" s="33"/>
    </row>
    <row r="26" spans="1:25" x14ac:dyDescent="0.25">
      <c r="A26" s="9"/>
      <c r="B26" s="9"/>
      <c r="C26" s="9"/>
      <c r="D26" s="9"/>
      <c r="E26" s="9"/>
      <c r="F26" s="9"/>
      <c r="G26" s="9"/>
      <c r="H26" s="9"/>
      <c r="I26" s="9"/>
      <c r="J26" s="9"/>
      <c r="K26" s="9"/>
      <c r="L26" s="9"/>
      <c r="M26" s="9"/>
      <c r="N26" s="9"/>
      <c r="O26" s="9"/>
      <c r="P26" s="9"/>
      <c r="Q26" s="9"/>
      <c r="R26" s="9"/>
      <c r="S26" s="9"/>
      <c r="T26" s="9"/>
      <c r="W26" s="37"/>
      <c r="X26" s="37"/>
      <c r="Y26" s="37"/>
    </row>
    <row r="27" spans="1:25" x14ac:dyDescent="0.25">
      <c r="A27" s="9"/>
      <c r="B27" s="9"/>
      <c r="C27" s="9"/>
      <c r="D27" s="9"/>
      <c r="E27" s="9"/>
      <c r="F27" s="9"/>
      <c r="G27" s="9"/>
      <c r="H27" s="9"/>
      <c r="I27" s="9"/>
      <c r="J27" s="9"/>
      <c r="K27" s="9"/>
      <c r="L27" s="9"/>
      <c r="M27" s="9"/>
      <c r="N27" s="9"/>
      <c r="O27" s="9"/>
      <c r="P27" s="9"/>
      <c r="Q27" s="9"/>
      <c r="R27" s="9"/>
      <c r="S27" s="9"/>
      <c r="T27" s="9"/>
    </row>
    <row r="28" spans="1:25" x14ac:dyDescent="0.25">
      <c r="A28" s="9"/>
      <c r="B28" s="9"/>
      <c r="C28" s="9"/>
      <c r="D28" s="9"/>
      <c r="E28" s="9"/>
      <c r="F28" s="9"/>
      <c r="G28" s="9"/>
      <c r="H28" s="9"/>
      <c r="I28" s="9"/>
      <c r="J28" s="9"/>
      <c r="K28" s="9"/>
      <c r="L28" s="9"/>
      <c r="M28" s="9"/>
      <c r="N28" s="9"/>
      <c r="O28" s="9"/>
      <c r="P28" s="9"/>
      <c r="Q28" s="9"/>
      <c r="R28" s="9"/>
      <c r="S28" s="9"/>
      <c r="T28" s="9"/>
    </row>
    <row r="29" spans="1:25" x14ac:dyDescent="0.25">
      <c r="A29" s="9"/>
      <c r="B29" s="9"/>
      <c r="C29" s="9"/>
      <c r="D29" s="9"/>
      <c r="E29" s="9"/>
      <c r="F29" s="9"/>
      <c r="G29" s="9"/>
      <c r="H29" s="9"/>
      <c r="I29" s="9"/>
      <c r="J29" s="9"/>
      <c r="K29" s="9"/>
      <c r="L29" s="9"/>
      <c r="M29" s="9"/>
      <c r="N29" s="9"/>
      <c r="O29" s="9"/>
      <c r="P29" s="9"/>
      <c r="Q29" s="9"/>
      <c r="R29" s="9"/>
      <c r="S29" s="9"/>
      <c r="T29" s="9"/>
    </row>
    <row r="30" spans="1:25" x14ac:dyDescent="0.25">
      <c r="A30" s="9"/>
      <c r="B30" s="9"/>
      <c r="C30" s="9"/>
      <c r="D30" s="9"/>
      <c r="E30" s="9"/>
      <c r="F30" s="9"/>
      <c r="G30" s="9"/>
      <c r="H30" s="9"/>
      <c r="I30" s="9"/>
      <c r="J30" s="9"/>
      <c r="K30" s="9"/>
      <c r="L30" s="9"/>
      <c r="M30" s="9"/>
      <c r="N30" s="9"/>
      <c r="O30" s="9"/>
      <c r="P30" s="9"/>
      <c r="Q30" s="9"/>
      <c r="R30" s="9"/>
      <c r="S30" s="9"/>
      <c r="T30" s="9"/>
    </row>
    <row r="31" spans="1:25" x14ac:dyDescent="0.25">
      <c r="A31" s="9"/>
      <c r="B31" s="9"/>
      <c r="C31" s="9"/>
      <c r="D31" s="9"/>
      <c r="E31" s="9"/>
      <c r="F31" s="9"/>
      <c r="G31" s="9"/>
      <c r="H31" s="9"/>
      <c r="I31" s="9"/>
      <c r="J31" s="9"/>
      <c r="K31" s="9"/>
      <c r="L31" s="9"/>
      <c r="M31" s="9"/>
      <c r="N31" s="9"/>
      <c r="O31" s="9"/>
      <c r="P31" s="9"/>
      <c r="Q31" s="9"/>
      <c r="R31" s="9"/>
      <c r="S31" s="9"/>
      <c r="T31" s="9"/>
    </row>
    <row r="32" spans="1:25" x14ac:dyDescent="0.25">
      <c r="A32" s="9"/>
      <c r="B32" s="9"/>
      <c r="C32" s="9"/>
      <c r="D32" s="9"/>
      <c r="E32" s="9"/>
      <c r="F32" s="9"/>
      <c r="G32" s="9"/>
      <c r="H32" s="9"/>
      <c r="I32" s="9"/>
      <c r="J32" s="9"/>
      <c r="K32" s="9"/>
      <c r="L32" s="9"/>
      <c r="M32" s="9"/>
      <c r="N32" s="9"/>
      <c r="O32" s="9"/>
      <c r="P32" s="9"/>
      <c r="Q32" s="9"/>
      <c r="R32" s="9"/>
      <c r="S32" s="9"/>
      <c r="T32" s="9"/>
    </row>
    <row r="33" spans="1:20" x14ac:dyDescent="0.25">
      <c r="A33" s="9"/>
      <c r="B33" s="9"/>
      <c r="C33" s="9"/>
      <c r="D33" s="9"/>
      <c r="E33" s="9"/>
      <c r="F33" s="9"/>
      <c r="G33" s="9"/>
      <c r="H33" s="9"/>
      <c r="I33" s="9"/>
      <c r="J33" s="9"/>
      <c r="K33" s="9"/>
      <c r="L33" s="9"/>
      <c r="M33" s="9"/>
      <c r="N33" s="9"/>
      <c r="O33" s="9"/>
      <c r="P33" s="9"/>
      <c r="Q33" s="9"/>
      <c r="R33" s="9"/>
      <c r="S33" s="9"/>
      <c r="T33" s="9"/>
    </row>
    <row r="34" spans="1:20" x14ac:dyDescent="0.25">
      <c r="A34" s="9"/>
      <c r="B34" s="9"/>
      <c r="C34" s="9"/>
      <c r="D34" s="9"/>
      <c r="E34" s="9"/>
      <c r="F34" s="9"/>
      <c r="G34" s="9"/>
      <c r="H34" s="9"/>
      <c r="I34" s="9"/>
      <c r="J34" s="9"/>
      <c r="K34" s="9"/>
      <c r="L34" s="9"/>
      <c r="M34" s="9"/>
      <c r="N34" s="9"/>
      <c r="O34" s="9"/>
      <c r="P34" s="9"/>
      <c r="Q34" s="9"/>
      <c r="R34" s="9"/>
      <c r="S34" s="9"/>
      <c r="T34" s="9"/>
    </row>
    <row r="35" spans="1:20" x14ac:dyDescent="0.25">
      <c r="A35" s="9"/>
      <c r="B35" s="9"/>
      <c r="C35" s="9"/>
      <c r="D35" s="9"/>
      <c r="E35" s="9"/>
      <c r="F35" s="9"/>
      <c r="G35" s="9"/>
      <c r="H35" s="9"/>
      <c r="I35" s="9"/>
      <c r="J35" s="9"/>
      <c r="K35" s="9"/>
      <c r="L35" s="9"/>
      <c r="M35" s="9"/>
      <c r="N35" s="9"/>
      <c r="O35" s="9"/>
      <c r="P35" s="9"/>
      <c r="Q35" s="9"/>
      <c r="R35" s="9"/>
      <c r="S35" s="9"/>
      <c r="T35" s="9"/>
    </row>
    <row r="36" spans="1:20" x14ac:dyDescent="0.25">
      <c r="A36" s="9"/>
      <c r="B36" s="9"/>
      <c r="C36" s="9"/>
      <c r="D36" s="9"/>
      <c r="E36" s="9"/>
      <c r="F36" s="9"/>
      <c r="G36" s="9"/>
      <c r="H36" s="9"/>
      <c r="I36" s="9"/>
      <c r="J36" s="9"/>
      <c r="K36" s="9"/>
      <c r="L36" s="9"/>
      <c r="M36" s="9"/>
      <c r="N36" s="9"/>
      <c r="O36" s="9"/>
      <c r="P36" s="9"/>
      <c r="Q36" s="9"/>
      <c r="R36" s="9"/>
      <c r="S36" s="9"/>
      <c r="T36" s="9"/>
    </row>
    <row r="37" spans="1:20" x14ac:dyDescent="0.25">
      <c r="A37" s="9"/>
      <c r="B37" s="9"/>
      <c r="C37" s="9"/>
      <c r="D37" s="9"/>
      <c r="E37" s="9"/>
      <c r="F37" s="9"/>
      <c r="G37" s="9"/>
      <c r="H37" s="9"/>
      <c r="I37" s="9"/>
      <c r="J37" s="9"/>
      <c r="K37" s="9"/>
      <c r="L37" s="9"/>
      <c r="M37" s="9"/>
      <c r="N37" s="9"/>
      <c r="O37" s="9"/>
      <c r="P37" s="9"/>
      <c r="Q37" s="9"/>
      <c r="R37" s="9"/>
      <c r="S37" s="9"/>
      <c r="T37" s="9"/>
    </row>
    <row r="38" spans="1:20" x14ac:dyDescent="0.25">
      <c r="A38" s="9"/>
      <c r="B38" s="9"/>
      <c r="C38" s="9"/>
      <c r="D38" s="9"/>
      <c r="E38" s="9"/>
      <c r="F38" s="9"/>
      <c r="G38" s="9"/>
      <c r="H38" s="9"/>
      <c r="I38" s="9"/>
      <c r="J38" s="9"/>
      <c r="K38" s="9"/>
      <c r="L38" s="9"/>
      <c r="M38" s="9"/>
      <c r="N38" s="9"/>
      <c r="O38" s="9"/>
      <c r="P38" s="9"/>
      <c r="Q38" s="9"/>
      <c r="R38" s="9"/>
      <c r="S38" s="9"/>
      <c r="T38" s="9"/>
    </row>
    <row r="39" spans="1:20" x14ac:dyDescent="0.25">
      <c r="A39" s="20"/>
      <c r="B39" s="20"/>
      <c r="C39" s="20"/>
      <c r="D39" s="20"/>
      <c r="E39" s="20"/>
      <c r="F39" s="20"/>
      <c r="G39" s="20"/>
      <c r="H39" s="20"/>
      <c r="I39" s="20"/>
      <c r="J39" s="20"/>
      <c r="K39" s="20"/>
      <c r="L39" s="20"/>
      <c r="M39" s="20"/>
      <c r="N39" s="20"/>
      <c r="O39" s="20"/>
      <c r="P39" s="20"/>
      <c r="Q39" s="20"/>
      <c r="R39" s="20"/>
      <c r="S39" s="20"/>
      <c r="T39" s="20"/>
    </row>
    <row r="40" spans="1:20" x14ac:dyDescent="0.25">
      <c r="A40" s="20"/>
      <c r="B40" s="20"/>
      <c r="C40" s="20"/>
      <c r="D40" s="20"/>
      <c r="E40" s="20"/>
      <c r="F40" s="20"/>
      <c r="G40" s="20"/>
      <c r="H40" s="20"/>
      <c r="I40" s="20"/>
      <c r="J40" s="20"/>
      <c r="K40" s="20"/>
      <c r="L40" s="20"/>
      <c r="M40" s="20"/>
      <c r="N40" s="20"/>
      <c r="O40" s="20"/>
      <c r="P40" s="20"/>
      <c r="Q40" s="20"/>
      <c r="R40" s="20"/>
      <c r="S40" s="20"/>
      <c r="T40" s="20"/>
    </row>
    <row r="41" spans="1:20" x14ac:dyDescent="0.25">
      <c r="A41" s="20"/>
      <c r="B41" s="20"/>
      <c r="C41" s="20"/>
      <c r="D41" s="20"/>
      <c r="E41" s="20"/>
      <c r="F41" s="20"/>
      <c r="G41" s="20"/>
      <c r="H41" s="20"/>
      <c r="I41" s="20"/>
      <c r="J41" s="20"/>
      <c r="K41" s="20"/>
      <c r="L41" s="20"/>
      <c r="M41" s="20"/>
      <c r="N41" s="20"/>
      <c r="O41" s="20"/>
      <c r="P41" s="20"/>
      <c r="Q41" s="20"/>
      <c r="R41" s="20"/>
      <c r="S41" s="20"/>
      <c r="T41" s="20"/>
    </row>
    <row r="42" spans="1:20" x14ac:dyDescent="0.25">
      <c r="A42" s="20"/>
      <c r="B42" s="20"/>
      <c r="C42" s="20"/>
      <c r="D42" s="20"/>
      <c r="E42" s="20"/>
      <c r="F42" s="20"/>
      <c r="G42" s="20"/>
      <c r="H42" s="20"/>
      <c r="I42" s="20"/>
      <c r="J42" s="20"/>
      <c r="K42" s="20"/>
      <c r="L42" s="20"/>
      <c r="M42" s="20"/>
      <c r="N42" s="20"/>
      <c r="O42" s="20"/>
      <c r="P42" s="20"/>
      <c r="Q42" s="20"/>
      <c r="R42" s="20"/>
      <c r="S42" s="20"/>
      <c r="T42" s="20"/>
    </row>
    <row r="43" spans="1:20" x14ac:dyDescent="0.25">
      <c r="A43" s="20"/>
      <c r="B43" s="20"/>
      <c r="C43" s="20"/>
      <c r="D43" s="20"/>
      <c r="E43" s="20"/>
      <c r="F43" s="20"/>
      <c r="G43" s="20"/>
      <c r="H43" s="20"/>
      <c r="I43" s="20"/>
      <c r="J43" s="20"/>
      <c r="K43" s="20"/>
      <c r="L43" s="20"/>
      <c r="M43" s="20"/>
      <c r="N43" s="20"/>
      <c r="O43" s="20"/>
      <c r="P43" s="20"/>
      <c r="Q43" s="20"/>
      <c r="R43" s="20"/>
      <c r="S43" s="20"/>
      <c r="T43" s="20"/>
    </row>
    <row r="44" spans="1:20" x14ac:dyDescent="0.25">
      <c r="A44" s="20"/>
      <c r="B44" s="20"/>
      <c r="C44" s="20"/>
      <c r="D44" s="20"/>
      <c r="E44" s="20"/>
      <c r="F44" s="20"/>
      <c r="G44" s="20"/>
      <c r="H44" s="20"/>
      <c r="I44" s="20"/>
      <c r="J44" s="20"/>
      <c r="K44" s="20"/>
      <c r="L44" s="20"/>
      <c r="M44" s="20"/>
      <c r="N44" s="20"/>
      <c r="O44" s="20"/>
      <c r="P44" s="20"/>
      <c r="Q44" s="20"/>
      <c r="R44" s="20"/>
      <c r="S44" s="20"/>
      <c r="T44" s="20"/>
    </row>
    <row r="45" spans="1:20" x14ac:dyDescent="0.25">
      <c r="A45" s="20"/>
      <c r="B45" s="20"/>
      <c r="C45" s="20"/>
      <c r="D45" s="20"/>
      <c r="E45" s="20"/>
      <c r="F45" s="20"/>
      <c r="G45" s="20"/>
      <c r="H45" s="20"/>
      <c r="I45" s="20"/>
      <c r="J45" s="20"/>
      <c r="K45" s="20"/>
      <c r="L45" s="20"/>
      <c r="M45" s="20"/>
      <c r="N45" s="20"/>
      <c r="O45" s="20"/>
      <c r="P45" s="20"/>
      <c r="Q45" s="20"/>
      <c r="R45" s="20"/>
      <c r="S45" s="20"/>
      <c r="T45" s="20"/>
    </row>
    <row r="46" spans="1:20" x14ac:dyDescent="0.25">
      <c r="A46" s="20"/>
      <c r="B46" s="20"/>
      <c r="C46" s="20"/>
      <c r="D46" s="20"/>
      <c r="E46" s="20"/>
      <c r="F46" s="20"/>
      <c r="G46" s="20"/>
      <c r="H46" s="20"/>
      <c r="I46" s="20"/>
      <c r="J46" s="20"/>
      <c r="K46" s="20"/>
      <c r="L46" s="20"/>
      <c r="M46" s="20"/>
      <c r="N46" s="20"/>
      <c r="O46" s="20"/>
      <c r="P46" s="20"/>
      <c r="Q46" s="20"/>
      <c r="R46" s="20"/>
      <c r="S46" s="20"/>
      <c r="T46" s="20"/>
    </row>
    <row r="47" spans="1:20" x14ac:dyDescent="0.25">
      <c r="A47" s="20"/>
      <c r="B47" s="20"/>
      <c r="C47" s="20"/>
      <c r="D47" s="20"/>
      <c r="E47" s="20"/>
      <c r="F47" s="20"/>
      <c r="G47" s="20"/>
      <c r="H47" s="20"/>
      <c r="I47" s="20"/>
      <c r="J47" s="20"/>
      <c r="K47" s="20"/>
      <c r="L47" s="20"/>
      <c r="M47" s="20"/>
      <c r="N47" s="20"/>
      <c r="O47" s="20"/>
      <c r="P47" s="20"/>
      <c r="Q47" s="20"/>
      <c r="R47" s="20"/>
      <c r="S47" s="20"/>
      <c r="T47" s="20"/>
    </row>
    <row r="48" spans="1:20" x14ac:dyDescent="0.25">
      <c r="A48" s="20"/>
      <c r="B48" s="20"/>
      <c r="C48" s="20"/>
      <c r="D48" s="20"/>
      <c r="E48" s="20"/>
      <c r="F48" s="20"/>
      <c r="G48" s="20"/>
      <c r="H48" s="20"/>
      <c r="I48" s="20"/>
      <c r="J48" s="20"/>
      <c r="K48" s="20"/>
      <c r="L48" s="20"/>
      <c r="M48" s="20"/>
      <c r="N48" s="20"/>
      <c r="O48" s="20"/>
      <c r="P48" s="20"/>
      <c r="Q48" s="20"/>
      <c r="R48" s="20"/>
      <c r="S48" s="20"/>
      <c r="T48" s="20"/>
    </row>
    <row r="49" spans="1:20" x14ac:dyDescent="0.25">
      <c r="A49" s="20"/>
      <c r="B49" s="20"/>
      <c r="C49" s="20"/>
      <c r="D49" s="20"/>
      <c r="E49" s="20"/>
      <c r="F49" s="20"/>
      <c r="G49" s="20"/>
      <c r="H49" s="20"/>
      <c r="I49" s="20"/>
      <c r="J49" s="20"/>
      <c r="K49" s="20"/>
      <c r="L49" s="20"/>
      <c r="M49" s="20"/>
      <c r="N49" s="20"/>
      <c r="O49" s="20"/>
      <c r="P49" s="20"/>
      <c r="Q49" s="20"/>
      <c r="R49" s="20"/>
      <c r="S49" s="20"/>
      <c r="T49" s="20"/>
    </row>
    <row r="50" spans="1:20" x14ac:dyDescent="0.25">
      <c r="A50" s="20"/>
      <c r="B50" s="20"/>
      <c r="C50" s="20"/>
      <c r="D50" s="20"/>
      <c r="E50" s="20"/>
      <c r="F50" s="20"/>
      <c r="G50" s="20"/>
      <c r="H50" s="20"/>
      <c r="I50" s="20"/>
      <c r="J50" s="20"/>
      <c r="K50" s="20"/>
      <c r="L50" s="20"/>
      <c r="M50" s="20"/>
      <c r="N50" s="20"/>
      <c r="O50" s="20"/>
      <c r="P50" s="20"/>
      <c r="Q50" s="20"/>
      <c r="R50" s="20"/>
      <c r="S50" s="20"/>
      <c r="T50" s="20"/>
    </row>
    <row r="51" spans="1:20" x14ac:dyDescent="0.25">
      <c r="A51" s="20"/>
      <c r="B51" s="20"/>
      <c r="C51" s="20"/>
      <c r="D51" s="20"/>
      <c r="E51" s="20"/>
      <c r="F51" s="20"/>
      <c r="G51" s="20"/>
      <c r="H51" s="20"/>
      <c r="I51" s="20"/>
      <c r="J51" s="20"/>
      <c r="K51" s="20"/>
      <c r="L51" s="20"/>
      <c r="M51" s="20"/>
      <c r="N51" s="20"/>
      <c r="O51" s="20"/>
      <c r="P51" s="20"/>
      <c r="Q51" s="20"/>
      <c r="R51" s="20"/>
      <c r="S51" s="20"/>
      <c r="T51" s="20"/>
    </row>
    <row r="52" spans="1:20" x14ac:dyDescent="0.25">
      <c r="A52" s="20"/>
      <c r="B52" s="20"/>
      <c r="C52" s="20"/>
      <c r="D52" s="20"/>
      <c r="E52" s="20"/>
      <c r="F52" s="20"/>
      <c r="I52" s="20"/>
      <c r="J52" s="20"/>
      <c r="K52" s="20"/>
      <c r="L52" s="20"/>
      <c r="M52" s="20"/>
      <c r="N52" s="20"/>
      <c r="O52" s="20"/>
      <c r="P52" s="20"/>
      <c r="Q52" s="20"/>
      <c r="R52" s="20"/>
      <c r="S52" s="20"/>
      <c r="T52" s="20"/>
    </row>
    <row r="53" spans="1:20" x14ac:dyDescent="0.25">
      <c r="A53" s="20"/>
      <c r="B53" s="20"/>
      <c r="C53" s="20"/>
      <c r="D53" s="20"/>
      <c r="E53" s="20"/>
      <c r="F53" s="20"/>
      <c r="I53" s="20"/>
      <c r="J53" s="20"/>
      <c r="K53" s="20"/>
      <c r="L53" s="20"/>
      <c r="M53" s="20"/>
      <c r="N53" s="20"/>
      <c r="O53" s="20"/>
      <c r="P53" s="20"/>
      <c r="Q53" s="20"/>
      <c r="R53" s="20"/>
      <c r="S53" s="20"/>
      <c r="T53" s="20"/>
    </row>
    <row r="54" spans="1:20" x14ac:dyDescent="0.25">
      <c r="A54" s="20"/>
      <c r="B54" s="20"/>
      <c r="C54" s="20"/>
      <c r="D54" s="20"/>
      <c r="E54" s="20"/>
      <c r="F54" s="20"/>
      <c r="I54" s="20"/>
      <c r="J54" s="20"/>
      <c r="K54" s="20"/>
      <c r="L54" s="20"/>
      <c r="M54" s="20"/>
      <c r="N54" s="20"/>
      <c r="O54" s="20"/>
      <c r="P54" s="20"/>
      <c r="Q54" s="20"/>
      <c r="R54" s="20"/>
      <c r="S54" s="20"/>
      <c r="T54" s="20"/>
    </row>
    <row r="55" spans="1:20" x14ac:dyDescent="0.25">
      <c r="A55" s="20"/>
      <c r="B55" s="20"/>
      <c r="C55" s="20"/>
      <c r="D55" s="20"/>
      <c r="E55" s="20"/>
      <c r="F55" s="20"/>
      <c r="I55" s="20"/>
      <c r="J55" s="20"/>
      <c r="K55" s="20"/>
      <c r="L55" s="20"/>
      <c r="M55" s="20"/>
      <c r="N55" s="20"/>
      <c r="O55" s="20"/>
      <c r="P55" s="20"/>
      <c r="Q55" s="20"/>
      <c r="R55" s="20"/>
      <c r="S55" s="20"/>
      <c r="T55" s="20"/>
    </row>
    <row r="56" spans="1:20" x14ac:dyDescent="0.25">
      <c r="A56" s="20"/>
      <c r="B56" s="20"/>
      <c r="C56" s="20"/>
      <c r="D56" s="20"/>
      <c r="E56" s="20"/>
      <c r="F56" s="20"/>
      <c r="I56" s="20"/>
      <c r="J56" s="20"/>
      <c r="K56" s="20"/>
      <c r="L56" s="20"/>
      <c r="M56" s="20"/>
      <c r="N56" s="20"/>
      <c r="O56" s="20"/>
      <c r="P56" s="20"/>
      <c r="Q56" s="20"/>
      <c r="R56" s="20"/>
      <c r="S56" s="20"/>
      <c r="T56" s="20"/>
    </row>
    <row r="57" spans="1:20" x14ac:dyDescent="0.25">
      <c r="A57" s="20"/>
      <c r="B57" s="20"/>
      <c r="C57" s="20"/>
      <c r="D57" s="20"/>
      <c r="E57" s="20"/>
      <c r="F57" s="20"/>
      <c r="I57" s="20"/>
      <c r="J57" s="20"/>
      <c r="K57" s="20"/>
      <c r="L57" s="20"/>
      <c r="M57" s="20"/>
      <c r="N57" s="20"/>
      <c r="O57" s="20"/>
      <c r="P57" s="20"/>
      <c r="Q57" s="20"/>
      <c r="R57" s="20"/>
      <c r="S57" s="20"/>
      <c r="T57" s="20"/>
    </row>
    <row r="58" spans="1:20" x14ac:dyDescent="0.25">
      <c r="A58" s="20"/>
      <c r="B58" s="20"/>
      <c r="C58" s="20"/>
      <c r="D58" s="20"/>
      <c r="E58" s="20"/>
      <c r="F58" s="20"/>
      <c r="I58" s="20"/>
      <c r="J58" s="20"/>
      <c r="K58" s="20"/>
      <c r="L58" s="20"/>
      <c r="M58" s="20"/>
      <c r="N58" s="20"/>
      <c r="O58" s="20"/>
      <c r="P58" s="20"/>
      <c r="Q58" s="20"/>
      <c r="R58" s="20"/>
      <c r="S58" s="20"/>
      <c r="T58" s="20"/>
    </row>
    <row r="59" spans="1:20" x14ac:dyDescent="0.25">
      <c r="A59" s="20"/>
      <c r="B59" s="20"/>
      <c r="C59" s="20"/>
      <c r="D59" s="20"/>
      <c r="E59" s="20"/>
      <c r="F59" s="20"/>
      <c r="I59" s="20"/>
      <c r="J59" s="20"/>
      <c r="K59" s="20"/>
      <c r="L59" s="20"/>
      <c r="M59" s="20"/>
      <c r="N59" s="20"/>
      <c r="O59" s="20"/>
      <c r="P59" s="20"/>
      <c r="Q59" s="20"/>
      <c r="R59" s="20"/>
      <c r="S59" s="20"/>
      <c r="T59" s="20"/>
    </row>
    <row r="60" spans="1:20" x14ac:dyDescent="0.25">
      <c r="A60" s="20"/>
      <c r="B60" s="20"/>
      <c r="C60" s="20"/>
      <c r="D60" s="20"/>
      <c r="E60" s="20"/>
      <c r="F60" s="20"/>
      <c r="I60" s="20"/>
      <c r="J60" s="20"/>
      <c r="K60" s="20"/>
      <c r="L60" s="20"/>
      <c r="M60" s="20"/>
      <c r="N60" s="20"/>
      <c r="O60" s="20"/>
      <c r="P60" s="20"/>
      <c r="Q60" s="20"/>
      <c r="R60" s="20"/>
      <c r="S60" s="20"/>
      <c r="T60" s="20"/>
    </row>
    <row r="61" spans="1:20" x14ac:dyDescent="0.25">
      <c r="A61" s="20"/>
      <c r="B61" s="20"/>
      <c r="C61" s="20"/>
      <c r="D61" s="20"/>
      <c r="E61" s="20"/>
      <c r="F61" s="20"/>
      <c r="I61" s="20"/>
      <c r="J61" s="20"/>
      <c r="K61" s="20"/>
      <c r="L61" s="20"/>
      <c r="M61" s="20"/>
      <c r="N61" s="20"/>
      <c r="O61" s="20"/>
      <c r="P61" s="20"/>
      <c r="Q61" s="20"/>
      <c r="R61" s="20"/>
      <c r="S61" s="20"/>
      <c r="T61" s="20"/>
    </row>
  </sheetData>
  <mergeCells count="20">
    <mergeCell ref="W25:Y25"/>
    <mergeCell ref="W26:Y26"/>
    <mergeCell ref="V21:X21"/>
    <mergeCell ref="V22:X22"/>
    <mergeCell ref="A5:B5"/>
    <mergeCell ref="A6:B6"/>
    <mergeCell ref="D5:F5"/>
    <mergeCell ref="D6:F6"/>
    <mergeCell ref="H5:J5"/>
    <mergeCell ref="L5:N5"/>
    <mergeCell ref="X14:Y14"/>
    <mergeCell ref="X15:Y15"/>
    <mergeCell ref="A1:R2"/>
    <mergeCell ref="H6:J6"/>
    <mergeCell ref="N3:P3"/>
    <mergeCell ref="L6:N6"/>
    <mergeCell ref="O4:Q4"/>
    <mergeCell ref="P6:R6"/>
    <mergeCell ref="H7:J7"/>
    <mergeCell ref="P5: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workbookViewId="0">
      <selection activeCell="D27" sqref="D27"/>
    </sheetView>
  </sheetViews>
  <sheetFormatPr defaultRowHeight="15" x14ac:dyDescent="0.25"/>
  <cols>
    <col min="1" max="2" width="14" bestFit="1" customWidth="1"/>
    <col min="3" max="3" width="12.140625" bestFit="1" customWidth="1"/>
    <col min="4" max="4" width="33" bestFit="1" customWidth="1"/>
    <col min="5" max="5" width="15.42578125" bestFit="1" customWidth="1"/>
    <col min="7" max="7" width="14.5703125" bestFit="1" customWidth="1"/>
    <col min="8" max="8" width="12.5703125" bestFit="1" customWidth="1"/>
    <col min="10" max="10" width="13.140625" bestFit="1" customWidth="1"/>
    <col min="11" max="11" width="16.28515625" bestFit="1" customWidth="1"/>
    <col min="12" max="12" width="9.7109375" bestFit="1" customWidth="1"/>
    <col min="13" max="13" width="9.28515625" bestFit="1" customWidth="1"/>
    <col min="14" max="14" width="11.28515625" bestFit="1" customWidth="1"/>
  </cols>
  <sheetData>
    <row r="1" spans="1:14" x14ac:dyDescent="0.25">
      <c r="A1" s="1" t="s">
        <v>723</v>
      </c>
      <c r="B1" s="1" t="s">
        <v>724</v>
      </c>
    </row>
    <row r="2" spans="1:14" x14ac:dyDescent="0.25">
      <c r="A2" t="s">
        <v>725</v>
      </c>
      <c r="B2">
        <v>600</v>
      </c>
    </row>
    <row r="3" spans="1:14" x14ac:dyDescent="0.25">
      <c r="A3" t="s">
        <v>726</v>
      </c>
      <c r="B3">
        <v>1193832.05</v>
      </c>
    </row>
    <row r="4" spans="1:14" x14ac:dyDescent="0.25">
      <c r="A4" t="s">
        <v>727</v>
      </c>
      <c r="B4">
        <v>432251.41</v>
      </c>
    </row>
    <row r="5" spans="1:14" x14ac:dyDescent="0.25">
      <c r="A5" t="s">
        <v>728</v>
      </c>
      <c r="B5">
        <v>1989.7200833333329</v>
      </c>
    </row>
    <row r="6" spans="1:14" x14ac:dyDescent="0.25">
      <c r="A6" t="s">
        <v>729</v>
      </c>
      <c r="B6">
        <v>0.1109</v>
      </c>
    </row>
    <row r="10" spans="1:14" x14ac:dyDescent="0.25">
      <c r="A10" s="21" t="s">
        <v>735</v>
      </c>
      <c r="B10" t="s">
        <v>739</v>
      </c>
      <c r="D10" s="21" t="s">
        <v>735</v>
      </c>
      <c r="E10" t="s">
        <v>740</v>
      </c>
      <c r="G10" s="21" t="s">
        <v>735</v>
      </c>
      <c r="H10" t="s">
        <v>738</v>
      </c>
      <c r="J10" s="21" t="s">
        <v>738</v>
      </c>
      <c r="K10" s="21" t="s">
        <v>737</v>
      </c>
    </row>
    <row r="11" spans="1:14" x14ac:dyDescent="0.25">
      <c r="A11" s="22" t="s">
        <v>74</v>
      </c>
      <c r="B11" s="5">
        <v>147454.21</v>
      </c>
      <c r="D11" s="22" t="s">
        <v>90</v>
      </c>
      <c r="E11" s="8">
        <v>117</v>
      </c>
      <c r="G11" s="22" t="s">
        <v>26</v>
      </c>
      <c r="H11" s="5">
        <v>130141.9599999999</v>
      </c>
      <c r="J11" s="21" t="s">
        <v>735</v>
      </c>
      <c r="K11" t="s">
        <v>29</v>
      </c>
      <c r="L11" t="s">
        <v>21</v>
      </c>
      <c r="M11" t="s">
        <v>38</v>
      </c>
      <c r="N11" t="s">
        <v>736</v>
      </c>
    </row>
    <row r="12" spans="1:14" x14ac:dyDescent="0.25">
      <c r="A12" s="22" t="s">
        <v>24</v>
      </c>
      <c r="B12" s="5">
        <v>94211.049999999988</v>
      </c>
      <c r="D12" s="22" t="s">
        <v>72</v>
      </c>
      <c r="E12" s="8">
        <v>143</v>
      </c>
      <c r="G12" s="22" t="s">
        <v>48</v>
      </c>
      <c r="H12" s="5">
        <v>152980.20000000007</v>
      </c>
      <c r="J12" s="22">
        <v>2023</v>
      </c>
      <c r="K12" s="5">
        <v>30385.310000000009</v>
      </c>
      <c r="L12" s="5">
        <v>71383.819999999963</v>
      </c>
      <c r="M12" s="5">
        <v>26063.289999999997</v>
      </c>
      <c r="N12" s="5">
        <v>127832.41999999997</v>
      </c>
    </row>
    <row r="13" spans="1:14" x14ac:dyDescent="0.25">
      <c r="A13" s="22" t="s">
        <v>79</v>
      </c>
      <c r="B13" s="5">
        <v>112427.93999999999</v>
      </c>
      <c r="D13" s="22" t="s">
        <v>76</v>
      </c>
      <c r="E13" s="8">
        <v>113</v>
      </c>
      <c r="G13" s="22" t="s">
        <v>18</v>
      </c>
      <c r="H13" s="5">
        <v>149129.25000000003</v>
      </c>
      <c r="J13" s="22">
        <v>2024</v>
      </c>
      <c r="K13" s="5">
        <v>23052.7</v>
      </c>
      <c r="L13" s="5">
        <v>90010.040000000023</v>
      </c>
      <c r="M13" s="5">
        <v>39891.589999999997</v>
      </c>
      <c r="N13" s="5">
        <v>152954.33000000002</v>
      </c>
    </row>
    <row r="14" spans="1:14" x14ac:dyDescent="0.25">
      <c r="A14" s="22" t="s">
        <v>125</v>
      </c>
      <c r="B14" s="5">
        <v>85414.079999999987</v>
      </c>
      <c r="D14" s="22" t="s">
        <v>82</v>
      </c>
      <c r="E14" s="8">
        <v>117</v>
      </c>
      <c r="G14" s="22" t="s">
        <v>736</v>
      </c>
      <c r="H14" s="5">
        <v>432251.41000000003</v>
      </c>
      <c r="J14" s="22">
        <v>2025</v>
      </c>
      <c r="K14" s="5">
        <v>22801.810000000005</v>
      </c>
      <c r="L14" s="5">
        <v>104233.94999999998</v>
      </c>
      <c r="M14" s="5">
        <v>24428.900000000005</v>
      </c>
      <c r="N14" s="5">
        <v>151464.65999999997</v>
      </c>
    </row>
    <row r="15" spans="1:14" x14ac:dyDescent="0.25">
      <c r="A15" s="22" t="s">
        <v>52</v>
      </c>
      <c r="B15" s="5">
        <v>112950.46999999999</v>
      </c>
      <c r="D15" s="22" t="s">
        <v>20</v>
      </c>
      <c r="E15" s="8">
        <v>111</v>
      </c>
      <c r="J15" s="22" t="s">
        <v>736</v>
      </c>
      <c r="K15" s="5">
        <v>76239.820000000007</v>
      </c>
      <c r="L15" s="5">
        <v>265627.80999999994</v>
      </c>
      <c r="M15" s="5">
        <v>90383.78</v>
      </c>
      <c r="N15" s="5">
        <v>432251.41</v>
      </c>
    </row>
    <row r="16" spans="1:14" x14ac:dyDescent="0.25">
      <c r="A16" s="22" t="s">
        <v>86</v>
      </c>
      <c r="B16" s="5">
        <v>102999.05000000002</v>
      </c>
      <c r="D16" s="22" t="s">
        <v>55</v>
      </c>
      <c r="E16" s="8">
        <v>192</v>
      </c>
    </row>
    <row r="17" spans="1:5" x14ac:dyDescent="0.25">
      <c r="A17" s="22" t="s">
        <v>66</v>
      </c>
      <c r="B17" s="5">
        <v>116912.81000000001</v>
      </c>
      <c r="D17" s="22" t="s">
        <v>44</v>
      </c>
      <c r="E17" s="8">
        <v>117</v>
      </c>
    </row>
    <row r="18" spans="1:5" x14ac:dyDescent="0.25">
      <c r="A18" s="22" t="s">
        <v>41</v>
      </c>
      <c r="B18" s="5">
        <v>131682.53</v>
      </c>
      <c r="D18" s="22" t="s">
        <v>69</v>
      </c>
      <c r="E18" s="8">
        <v>115</v>
      </c>
    </row>
    <row r="19" spans="1:5" x14ac:dyDescent="0.25">
      <c r="A19" s="22" t="s">
        <v>16</v>
      </c>
      <c r="B19" s="5">
        <v>166902.62999999998</v>
      </c>
      <c r="D19" s="22" t="s">
        <v>33</v>
      </c>
      <c r="E19" s="8">
        <v>116</v>
      </c>
    </row>
    <row r="20" spans="1:5" x14ac:dyDescent="0.25">
      <c r="A20" s="22" t="s">
        <v>36</v>
      </c>
      <c r="B20" s="5">
        <v>122877.27999999998</v>
      </c>
      <c r="D20" s="22" t="s">
        <v>202</v>
      </c>
      <c r="E20" s="8">
        <v>113</v>
      </c>
    </row>
    <row r="21" spans="1:5" x14ac:dyDescent="0.25">
      <c r="A21" s="22" t="s">
        <v>736</v>
      </c>
      <c r="B21" s="5">
        <v>1193832.05</v>
      </c>
      <c r="D21" s="22" t="s">
        <v>736</v>
      </c>
      <c r="E21" s="8">
        <v>1254</v>
      </c>
    </row>
    <row r="24" spans="1:5" x14ac:dyDescent="0.25">
      <c r="B24" s="21" t="s">
        <v>735</v>
      </c>
      <c r="C24" t="s">
        <v>739</v>
      </c>
    </row>
    <row r="25" spans="1:5" x14ac:dyDescent="0.25">
      <c r="B25" s="22" t="s">
        <v>74</v>
      </c>
      <c r="C25" s="5">
        <v>147454.21</v>
      </c>
    </row>
    <row r="26" spans="1:5" x14ac:dyDescent="0.25">
      <c r="B26" s="22" t="s">
        <v>24</v>
      </c>
      <c r="C26" s="5">
        <v>94211.049999999988</v>
      </c>
    </row>
    <row r="27" spans="1:5" x14ac:dyDescent="0.25">
      <c r="B27" s="22" t="s">
        <v>79</v>
      </c>
      <c r="C27" s="5">
        <v>112427.93999999999</v>
      </c>
    </row>
    <row r="28" spans="1:5" x14ac:dyDescent="0.25">
      <c r="B28" s="22" t="s">
        <v>125</v>
      </c>
      <c r="C28" s="5">
        <v>85414.079999999987</v>
      </c>
    </row>
    <row r="29" spans="1:5" x14ac:dyDescent="0.25">
      <c r="B29" s="22" t="s">
        <v>52</v>
      </c>
      <c r="C29" s="5">
        <v>112950.46999999999</v>
      </c>
    </row>
    <row r="30" spans="1:5" x14ac:dyDescent="0.25">
      <c r="B30" s="22" t="s">
        <v>86</v>
      </c>
      <c r="C30" s="5">
        <v>102999.05000000002</v>
      </c>
    </row>
    <row r="31" spans="1:5" x14ac:dyDescent="0.25">
      <c r="B31" s="22" t="s">
        <v>66</v>
      </c>
      <c r="C31" s="5">
        <v>116912.81000000001</v>
      </c>
    </row>
    <row r="32" spans="1:5" x14ac:dyDescent="0.25">
      <c r="B32" s="22" t="s">
        <v>41</v>
      </c>
      <c r="C32" s="5">
        <v>131682.53</v>
      </c>
    </row>
    <row r="33" spans="2:3" x14ac:dyDescent="0.25">
      <c r="B33" s="22" t="s">
        <v>16</v>
      </c>
      <c r="C33" s="5">
        <v>166902.62999999998</v>
      </c>
    </row>
    <row r="34" spans="2:3" x14ac:dyDescent="0.25">
      <c r="B34" s="22" t="s">
        <v>36</v>
      </c>
      <c r="C34" s="5">
        <v>122877.27999999998</v>
      </c>
    </row>
    <row r="35" spans="2:3" x14ac:dyDescent="0.25">
      <c r="B35" s="22" t="s">
        <v>736</v>
      </c>
      <c r="C35" s="5">
        <v>1193832.05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Sheet7</vt:lpstr>
      <vt:lpstr>Sheet1</vt:lpstr>
      <vt:lpstr>Sheet2</vt:lpstr>
      <vt:lpstr>Sheet4</vt:lpstr>
      <vt:lpstr>SalesData</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Shravani Jadhav</cp:lastModifiedBy>
  <dcterms:created xsi:type="dcterms:W3CDTF">2026-09-28T05:23:13Z</dcterms:created>
  <dcterms:modified xsi:type="dcterms:W3CDTF">2026-10-07T10:50:58Z</dcterms:modified>
</cp:coreProperties>
</file>